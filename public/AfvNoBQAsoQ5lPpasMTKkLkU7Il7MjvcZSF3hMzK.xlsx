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xWindow="-105" yWindow="-105" windowWidth="23250" windowHeight="12450" tabRatio="566" firstSheet="2" activeTab="4"/>
  </bookViews>
  <sheets>
    <sheet name="entree" sheetId="8" r:id="rId1"/>
    <sheet name="entree backup" sheetId="2" state="hidden" r:id="rId2"/>
    <sheet name="sortie" sheetId="5" r:id="rId3"/>
    <sheet name="Inventaire STOCK" sheetId="7" state="hidden" r:id="rId4"/>
    <sheet name="utilisateurs_articles" sheetId="4" r:id="rId5"/>
  </sheets>
  <definedNames>
    <definedName name="articles" localSheetId="0">#REF!</definedName>
    <definedName name="articles">#REF!</definedName>
    <definedName name="date_max_entree">'Inventaire STOCK'!$C$3</definedName>
    <definedName name="date_max_sortie">'Inventaire STOCK'!$D$3</definedName>
    <definedName name="date_min_entree">'Inventaire STOCK'!$C$2</definedName>
    <definedName name="date_min_sortie">'Inventaire STOCK'!$D$2</definedName>
    <definedName name="localiation" localSheetId="0">Tableau3[Localisation]</definedName>
    <definedName name="localiation">Tableau3[Localisation]</definedName>
    <definedName name="typelivraison" localSheetId="0">#REF!</definedName>
    <definedName name="typelivraison">#REF!</definedName>
    <definedName name="utilisateurs" localSheetId="0">Tableau3[Prenoms (ID)]</definedName>
    <definedName name="utilisateurs">Tableau3[Prenoms (ID)]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3" i="5" l="1"/>
  <c r="I973" i="5"/>
  <c r="J973" i="5"/>
  <c r="H972" i="5"/>
  <c r="I972" i="5"/>
  <c r="J972" i="5"/>
  <c r="H971" i="5"/>
  <c r="I971" i="5"/>
  <c r="J971" i="5"/>
  <c r="H970" i="5"/>
  <c r="I970" i="5"/>
  <c r="J970" i="5"/>
  <c r="H969" i="5"/>
  <c r="I969" i="5"/>
  <c r="J969" i="5"/>
  <c r="H967" i="5"/>
  <c r="H968" i="5"/>
  <c r="I967" i="5"/>
  <c r="I968" i="5"/>
  <c r="J967" i="5"/>
  <c r="J968" i="5"/>
  <c r="H966" i="5"/>
  <c r="I966" i="5"/>
  <c r="J966" i="5"/>
  <c r="H965" i="5"/>
  <c r="I965" i="5"/>
  <c r="J965" i="5"/>
  <c r="H964" i="5"/>
  <c r="I964" i="5"/>
  <c r="J964" i="5"/>
  <c r="H962" i="5"/>
  <c r="H963" i="5"/>
  <c r="I962" i="5"/>
  <c r="I963" i="5"/>
  <c r="J962" i="5"/>
  <c r="J963" i="5"/>
  <c r="H961" i="5"/>
  <c r="I961" i="5"/>
  <c r="J961" i="5"/>
  <c r="H960" i="5"/>
  <c r="I960" i="5"/>
  <c r="J960" i="5"/>
  <c r="H959" i="5"/>
  <c r="I959" i="5"/>
  <c r="J959" i="5"/>
  <c r="H958" i="5"/>
  <c r="I958" i="5"/>
  <c r="J958" i="5"/>
  <c r="H954" i="5"/>
  <c r="H955" i="5"/>
  <c r="H956" i="5"/>
  <c r="H957" i="5"/>
  <c r="I954" i="5"/>
  <c r="I955" i="5"/>
  <c r="I956" i="5"/>
  <c r="I957" i="5"/>
  <c r="J954" i="5"/>
  <c r="J955" i="5"/>
  <c r="J956" i="5"/>
  <c r="J957" i="5"/>
  <c r="H953" i="5"/>
  <c r="I953" i="5"/>
  <c r="J953" i="5"/>
  <c r="H952" i="5"/>
  <c r="I952" i="5"/>
  <c r="J952" i="5"/>
  <c r="H951" i="5"/>
  <c r="I951" i="5"/>
  <c r="J951" i="5"/>
  <c r="H950" i="5"/>
  <c r="I950" i="5"/>
  <c r="J950" i="5"/>
  <c r="H944" i="5"/>
  <c r="H945" i="5"/>
  <c r="H946" i="5"/>
  <c r="H947" i="5"/>
  <c r="H948" i="5"/>
  <c r="H949" i="5"/>
  <c r="I944" i="5"/>
  <c r="I945" i="5"/>
  <c r="I946" i="5"/>
  <c r="I947" i="5"/>
  <c r="I948" i="5"/>
  <c r="I949" i="5"/>
  <c r="J944" i="5"/>
  <c r="J945" i="5"/>
  <c r="J946" i="5"/>
  <c r="J947" i="5"/>
  <c r="J948" i="5"/>
  <c r="J949" i="5"/>
  <c r="H943" i="5"/>
  <c r="I943" i="5"/>
  <c r="J943" i="5"/>
  <c r="H942" i="5"/>
  <c r="I942" i="5"/>
  <c r="J942" i="5"/>
  <c r="H941" i="5"/>
  <c r="I941" i="5"/>
  <c r="J941" i="5"/>
  <c r="H938" i="5"/>
  <c r="H939" i="5"/>
  <c r="H940" i="5"/>
  <c r="I938" i="5"/>
  <c r="I939" i="5"/>
  <c r="I940" i="5"/>
  <c r="J938" i="5"/>
  <c r="J939" i="5"/>
  <c r="J940" i="5"/>
  <c r="H937" i="5"/>
  <c r="I937" i="5"/>
  <c r="J937" i="5"/>
  <c r="H936" i="5"/>
  <c r="I936" i="5"/>
  <c r="J936" i="5"/>
  <c r="H935" i="5"/>
  <c r="I935" i="5"/>
  <c r="J935" i="5"/>
  <c r="H934" i="5"/>
  <c r="I934" i="5"/>
  <c r="J934" i="5"/>
  <c r="H933" i="5"/>
  <c r="I933" i="5"/>
  <c r="J933" i="5"/>
  <c r="H932" i="5"/>
  <c r="I932" i="5"/>
  <c r="J932" i="5"/>
  <c r="H931" i="5"/>
  <c r="I931" i="5"/>
  <c r="J931" i="5"/>
  <c r="H930" i="5"/>
  <c r="I930" i="5"/>
  <c r="J930" i="5"/>
  <c r="H929" i="5"/>
  <c r="I929" i="5"/>
  <c r="J929" i="5"/>
  <c r="H928" i="5"/>
  <c r="I928" i="5"/>
  <c r="J928" i="5"/>
  <c r="H927" i="5"/>
  <c r="I927" i="5"/>
  <c r="J927" i="5"/>
  <c r="H926" i="5"/>
  <c r="I926" i="5"/>
  <c r="J926" i="5"/>
  <c r="H925" i="5"/>
  <c r="I925" i="5"/>
  <c r="J925" i="5"/>
  <c r="H924" i="5"/>
  <c r="I924" i="5"/>
  <c r="J924" i="5"/>
  <c r="H923" i="5"/>
  <c r="I923" i="5"/>
  <c r="J923" i="5"/>
  <c r="H922" i="5"/>
  <c r="I922" i="5"/>
  <c r="J922" i="5"/>
  <c r="H921" i="5"/>
  <c r="I921" i="5"/>
  <c r="J921" i="5"/>
  <c r="H920" i="5"/>
  <c r="I920" i="5"/>
  <c r="J920" i="5"/>
  <c r="H919" i="5"/>
  <c r="I919" i="5"/>
  <c r="J919" i="5"/>
  <c r="H918" i="5"/>
  <c r="I918" i="5"/>
  <c r="J918" i="5"/>
  <c r="H917" i="5"/>
  <c r="I917" i="5"/>
  <c r="J917" i="5"/>
  <c r="H916" i="5"/>
  <c r="I916" i="5"/>
  <c r="J916" i="5"/>
  <c r="H915" i="5"/>
  <c r="I915" i="5"/>
  <c r="J915" i="5"/>
  <c r="H914" i="5"/>
  <c r="I914" i="5"/>
  <c r="J914" i="5"/>
  <c r="H911" i="5"/>
  <c r="H912" i="5"/>
  <c r="H913" i="5"/>
  <c r="I911" i="5"/>
  <c r="I912" i="5"/>
  <c r="I913" i="5"/>
  <c r="J911" i="5"/>
  <c r="J912" i="5"/>
  <c r="J913" i="5"/>
  <c r="H910" i="5"/>
  <c r="I910" i="5"/>
  <c r="J910" i="5"/>
  <c r="H909" i="5"/>
  <c r="I909" i="5"/>
  <c r="J909" i="5"/>
  <c r="H908" i="5"/>
  <c r="I908" i="5"/>
  <c r="J908" i="5"/>
  <c r="H904" i="5"/>
  <c r="H905" i="5"/>
  <c r="H906" i="5"/>
  <c r="H907" i="5"/>
  <c r="I904" i="5"/>
  <c r="I905" i="5"/>
  <c r="I906" i="5"/>
  <c r="I907" i="5"/>
  <c r="J904" i="5"/>
  <c r="J905" i="5"/>
  <c r="J906" i="5"/>
  <c r="J907" i="5"/>
  <c r="H903" i="5"/>
  <c r="I903" i="5"/>
  <c r="J903" i="5"/>
  <c r="H902" i="5"/>
  <c r="I902" i="5"/>
  <c r="J902" i="5"/>
  <c r="H901" i="5"/>
  <c r="I901" i="5"/>
  <c r="J901" i="5"/>
  <c r="H900" i="5"/>
  <c r="I900" i="5"/>
  <c r="J900" i="5"/>
  <c r="H899" i="5"/>
  <c r="I899" i="5"/>
  <c r="J899" i="5"/>
  <c r="H898" i="5"/>
  <c r="I898" i="5"/>
  <c r="J898" i="5"/>
  <c r="H897" i="5"/>
  <c r="I897" i="5"/>
  <c r="J897" i="5"/>
  <c r="H896" i="5"/>
  <c r="I896" i="5"/>
  <c r="J896" i="5"/>
  <c r="H895" i="5"/>
  <c r="I895" i="5"/>
  <c r="J895" i="5"/>
  <c r="H894" i="5"/>
  <c r="I894" i="5"/>
  <c r="J894" i="5"/>
  <c r="H893" i="5"/>
  <c r="I893" i="5"/>
  <c r="J893" i="5"/>
  <c r="H892" i="5"/>
  <c r="I892" i="5"/>
  <c r="J892" i="5"/>
  <c r="H891" i="5"/>
  <c r="I891" i="5"/>
  <c r="J891" i="5"/>
  <c r="H890" i="5"/>
  <c r="I890" i="5"/>
  <c r="J890" i="5"/>
  <c r="H888" i="5"/>
  <c r="H889" i="5"/>
  <c r="I888" i="5"/>
  <c r="I889" i="5"/>
  <c r="J888" i="5"/>
  <c r="J889" i="5"/>
  <c r="H887" i="5"/>
  <c r="I887" i="5"/>
  <c r="J887" i="5"/>
  <c r="H886" i="5"/>
  <c r="I886" i="5"/>
  <c r="J886" i="5"/>
  <c r="H885" i="5"/>
  <c r="I885" i="5"/>
  <c r="J885" i="5"/>
  <c r="H884" i="5"/>
  <c r="I884" i="5"/>
  <c r="J884" i="5"/>
  <c r="H883" i="5"/>
  <c r="I883" i="5"/>
  <c r="J883" i="5"/>
  <c r="H882" i="5"/>
  <c r="I882" i="5"/>
  <c r="J882" i="5"/>
  <c r="H881" i="5"/>
  <c r="I881" i="5"/>
  <c r="J881" i="5"/>
  <c r="H880" i="5"/>
  <c r="I880" i="5"/>
  <c r="J880" i="5"/>
  <c r="H879" i="5"/>
  <c r="I879" i="5"/>
  <c r="J879" i="5"/>
  <c r="H878" i="5"/>
  <c r="I878" i="5"/>
  <c r="J878" i="5"/>
  <c r="H877" i="5"/>
  <c r="I877" i="5"/>
  <c r="J877" i="5"/>
  <c r="H876" i="5"/>
  <c r="I876" i="5"/>
  <c r="J876" i="5"/>
  <c r="H875" i="5"/>
  <c r="I875" i="5"/>
  <c r="J875" i="5"/>
  <c r="H874" i="5"/>
  <c r="I874" i="5"/>
  <c r="J874" i="5"/>
  <c r="H873" i="5"/>
  <c r="I873" i="5"/>
  <c r="J873" i="5"/>
  <c r="H872" i="5"/>
  <c r="I872" i="5"/>
  <c r="J872" i="5"/>
  <c r="H871" i="5"/>
  <c r="I871" i="5"/>
  <c r="J871" i="5"/>
  <c r="H870" i="5"/>
  <c r="I870" i="5"/>
  <c r="J870" i="5"/>
  <c r="H869" i="5"/>
  <c r="I869" i="5"/>
  <c r="J869" i="5"/>
  <c r="H868" i="5"/>
  <c r="I868" i="5"/>
  <c r="J868" i="5"/>
  <c r="H867" i="5"/>
  <c r="I867" i="5"/>
  <c r="J867" i="5"/>
  <c r="H866" i="5"/>
  <c r="I866" i="5"/>
  <c r="J866" i="5"/>
  <c r="H865" i="5"/>
  <c r="I865" i="5"/>
  <c r="J865" i="5"/>
  <c r="H864" i="5"/>
  <c r="I864" i="5"/>
  <c r="J864" i="5"/>
  <c r="H862" i="5"/>
  <c r="H863" i="5"/>
  <c r="I862" i="5"/>
  <c r="I863" i="5"/>
  <c r="J862" i="5"/>
  <c r="J863" i="5"/>
  <c r="H861" i="5"/>
  <c r="I861" i="5"/>
  <c r="J861" i="5"/>
  <c r="H860" i="5"/>
  <c r="I860" i="5"/>
  <c r="J860" i="5"/>
  <c r="H859" i="5"/>
  <c r="I859" i="5"/>
  <c r="J859" i="5"/>
  <c r="H858" i="5"/>
  <c r="I858" i="5"/>
  <c r="J858" i="5"/>
  <c r="H857" i="5"/>
  <c r="I857" i="5"/>
  <c r="J857" i="5"/>
  <c r="H856" i="5"/>
  <c r="I856" i="5"/>
  <c r="J856" i="5"/>
  <c r="H855" i="5"/>
  <c r="I855" i="5"/>
  <c r="J855" i="5"/>
  <c r="H854" i="5"/>
  <c r="I854" i="5"/>
  <c r="J854" i="5"/>
  <c r="H851" i="5"/>
  <c r="H852" i="5"/>
  <c r="H853" i="5"/>
  <c r="I851" i="5"/>
  <c r="I852" i="5"/>
  <c r="I853" i="5"/>
  <c r="J851" i="5"/>
  <c r="J852" i="5"/>
  <c r="J853" i="5"/>
  <c r="H850" i="5"/>
  <c r="I850" i="5"/>
  <c r="J850" i="5"/>
  <c r="H849" i="5"/>
  <c r="I849" i="5"/>
  <c r="J849" i="5"/>
  <c r="H845" i="5"/>
  <c r="H846" i="5"/>
  <c r="H847" i="5"/>
  <c r="H848" i="5"/>
  <c r="I845" i="5"/>
  <c r="I846" i="5"/>
  <c r="I847" i="5"/>
  <c r="I848" i="5"/>
  <c r="J845" i="5"/>
  <c r="J846" i="5"/>
  <c r="J847" i="5"/>
  <c r="J848" i="5"/>
  <c r="H844" i="5"/>
  <c r="I844" i="5"/>
  <c r="J844" i="5"/>
  <c r="H843" i="5"/>
  <c r="I843" i="5"/>
  <c r="J843" i="5"/>
  <c r="H842" i="5"/>
  <c r="I842" i="5"/>
  <c r="J842" i="5"/>
  <c r="H841" i="5"/>
  <c r="I841" i="5"/>
  <c r="J841" i="5"/>
  <c r="H840" i="5"/>
  <c r="I840" i="5"/>
  <c r="J840" i="5"/>
  <c r="H839" i="5"/>
  <c r="I839" i="5"/>
  <c r="J839" i="5"/>
  <c r="H838" i="5"/>
  <c r="I838" i="5"/>
  <c r="J838" i="5"/>
  <c r="H837" i="5"/>
  <c r="I837" i="5"/>
  <c r="J837" i="5"/>
  <c r="H836" i="5"/>
  <c r="I836" i="5"/>
  <c r="J836" i="5"/>
  <c r="H835" i="5"/>
  <c r="I835" i="5"/>
  <c r="J835" i="5"/>
  <c r="H834" i="5"/>
  <c r="I834" i="5"/>
  <c r="J834" i="5"/>
  <c r="H829" i="5"/>
  <c r="H830" i="5"/>
  <c r="H831" i="5"/>
  <c r="H832" i="5"/>
  <c r="H833" i="5"/>
  <c r="I829" i="5"/>
  <c r="I830" i="5"/>
  <c r="I831" i="5"/>
  <c r="I832" i="5"/>
  <c r="I833" i="5"/>
  <c r="J829" i="5"/>
  <c r="J830" i="5"/>
  <c r="J831" i="5"/>
  <c r="J832" i="5"/>
  <c r="J833" i="5"/>
  <c r="H828" i="5"/>
  <c r="I828" i="5"/>
  <c r="J828" i="5"/>
  <c r="H827" i="5"/>
  <c r="I827" i="5"/>
  <c r="J827" i="5"/>
  <c r="H826" i="5"/>
  <c r="I826" i="5"/>
  <c r="J826" i="5"/>
  <c r="H825" i="5"/>
  <c r="I825" i="5"/>
  <c r="J825" i="5"/>
  <c r="H824" i="5"/>
  <c r="I824" i="5"/>
  <c r="J824" i="5"/>
  <c r="H823" i="5"/>
  <c r="I823" i="5"/>
  <c r="J823" i="5"/>
  <c r="H822" i="5"/>
  <c r="I822" i="5"/>
  <c r="J822" i="5"/>
  <c r="H821" i="5"/>
  <c r="I821" i="5"/>
  <c r="J821" i="5"/>
  <c r="H820" i="5"/>
  <c r="I820" i="5"/>
  <c r="J820" i="5"/>
  <c r="H819" i="5"/>
  <c r="I819" i="5"/>
  <c r="J819" i="5"/>
  <c r="H816" i="5"/>
  <c r="H817" i="5"/>
  <c r="H818" i="5"/>
  <c r="I816" i="5"/>
  <c r="I817" i="5"/>
  <c r="I818" i="5"/>
  <c r="J816" i="5"/>
  <c r="J817" i="5"/>
  <c r="J818" i="5"/>
  <c r="H815" i="5"/>
  <c r="I815" i="5"/>
  <c r="J815" i="5"/>
  <c r="H814" i="5"/>
  <c r="I814" i="5"/>
  <c r="J814" i="5"/>
  <c r="H813" i="5"/>
  <c r="I813" i="5"/>
  <c r="J813" i="5"/>
  <c r="H812" i="5"/>
  <c r="I812" i="5"/>
  <c r="J812" i="5"/>
  <c r="H811" i="5"/>
  <c r="I811" i="5"/>
  <c r="J811" i="5"/>
  <c r="H810" i="5"/>
  <c r="I810" i="5"/>
  <c r="J810" i="5"/>
  <c r="H809" i="5"/>
  <c r="I809" i="5"/>
  <c r="J809" i="5"/>
  <c r="H808" i="5"/>
  <c r="I808" i="5"/>
  <c r="J808" i="5"/>
  <c r="H807" i="5"/>
  <c r="I807" i="5"/>
  <c r="J807" i="5"/>
  <c r="H806" i="5"/>
  <c r="I806" i="5"/>
  <c r="J806" i="5"/>
  <c r="H805" i="5"/>
  <c r="I805" i="5"/>
  <c r="J805" i="5"/>
  <c r="H804" i="5"/>
  <c r="I804" i="5"/>
  <c r="J804" i="5"/>
  <c r="H803" i="5"/>
  <c r="I803" i="5"/>
  <c r="J803" i="5"/>
  <c r="H802" i="5"/>
  <c r="I802" i="5"/>
  <c r="J802" i="5"/>
  <c r="H801" i="5"/>
  <c r="I801" i="5"/>
  <c r="J801" i="5"/>
  <c r="H800" i="5"/>
  <c r="I800" i="5"/>
  <c r="J800" i="5"/>
  <c r="H799" i="5"/>
  <c r="I799" i="5"/>
  <c r="J799" i="5"/>
  <c r="H798" i="5"/>
  <c r="I798" i="5"/>
  <c r="J798" i="5"/>
  <c r="H797" i="5"/>
  <c r="I797" i="5"/>
  <c r="J797" i="5"/>
  <c r="H796" i="5"/>
  <c r="I796" i="5"/>
  <c r="J796" i="5"/>
  <c r="H795" i="5"/>
  <c r="I795" i="5"/>
  <c r="J795" i="5"/>
  <c r="H794" i="5"/>
  <c r="I794" i="5"/>
  <c r="J794" i="5"/>
  <c r="H793" i="5"/>
  <c r="I793" i="5"/>
  <c r="J793" i="5"/>
  <c r="H792" i="5"/>
  <c r="I792" i="5"/>
  <c r="J792" i="5"/>
  <c r="H214" i="8"/>
  <c r="I214" i="8"/>
  <c r="J214" i="8"/>
  <c r="H213" i="8"/>
  <c r="I213" i="8"/>
  <c r="J213" i="8"/>
  <c r="H212" i="8"/>
  <c r="I212" i="8"/>
  <c r="J212" i="8"/>
  <c r="H211" i="8"/>
  <c r="I211" i="8"/>
  <c r="J211" i="8"/>
  <c r="H210" i="8"/>
  <c r="I210" i="8"/>
  <c r="J210" i="8"/>
  <c r="H209" i="8"/>
  <c r="I209" i="8"/>
  <c r="J209" i="8"/>
  <c r="H208" i="8"/>
  <c r="I208" i="8"/>
  <c r="J208" i="8"/>
  <c r="H207" i="8"/>
  <c r="I207" i="8"/>
  <c r="J207" i="8"/>
  <c r="J206" i="8"/>
  <c r="I206" i="8"/>
  <c r="H206" i="8"/>
  <c r="H205" i="8"/>
  <c r="I205" i="8"/>
  <c r="J205" i="8"/>
  <c r="H204" i="8"/>
  <c r="I204" i="8"/>
  <c r="J204" i="8"/>
  <c r="H203" i="8"/>
  <c r="I203" i="8"/>
  <c r="J203" i="8"/>
  <c r="J202" i="8"/>
  <c r="I202" i="8"/>
  <c r="H202" i="8"/>
  <c r="H201" i="8"/>
  <c r="I201" i="8"/>
  <c r="J201" i="8"/>
  <c r="H200" i="8"/>
  <c r="I200" i="8"/>
  <c r="J200" i="8"/>
  <c r="H791" i="5"/>
  <c r="I791" i="5"/>
  <c r="J791" i="5"/>
  <c r="H790" i="5"/>
  <c r="I790" i="5"/>
  <c r="J790" i="5"/>
  <c r="H199" i="8"/>
  <c r="I199" i="8"/>
  <c r="J199" i="8"/>
  <c r="H789" i="5"/>
  <c r="I789" i="5"/>
  <c r="J789" i="5"/>
  <c r="H788" i="5"/>
  <c r="I788" i="5"/>
  <c r="J788" i="5"/>
  <c r="H787" i="5"/>
  <c r="I787" i="5"/>
  <c r="J787" i="5"/>
  <c r="H786" i="5"/>
  <c r="I786" i="5"/>
  <c r="J786" i="5"/>
  <c r="H172" i="8"/>
  <c r="H785" i="5"/>
  <c r="I785" i="5"/>
  <c r="J785" i="5"/>
  <c r="H784" i="5"/>
  <c r="I784" i="5"/>
  <c r="J784" i="5"/>
  <c r="H782" i="5"/>
  <c r="H783" i="5"/>
  <c r="I782" i="5"/>
  <c r="I783" i="5"/>
  <c r="J782" i="5"/>
  <c r="J783" i="5"/>
  <c r="H781" i="5"/>
  <c r="I781" i="5"/>
  <c r="J781" i="5"/>
  <c r="H780" i="5"/>
  <c r="I780" i="5"/>
  <c r="J780" i="5"/>
  <c r="H779" i="5"/>
  <c r="I779" i="5"/>
  <c r="J779" i="5"/>
  <c r="H778" i="5"/>
  <c r="I778" i="5"/>
  <c r="J778" i="5"/>
  <c r="H777" i="5"/>
  <c r="I777" i="5"/>
  <c r="J777" i="5"/>
  <c r="H776" i="5"/>
  <c r="I776" i="5"/>
  <c r="J776" i="5"/>
  <c r="H775" i="5"/>
  <c r="I775" i="5"/>
  <c r="J775" i="5"/>
  <c r="H774" i="5"/>
  <c r="I774" i="5"/>
  <c r="J774" i="5"/>
  <c r="H198" i="8"/>
  <c r="I198" i="8"/>
  <c r="J198" i="8"/>
  <c r="H773" i="5"/>
  <c r="I773" i="5"/>
  <c r="J773" i="5"/>
  <c r="H197" i="8"/>
  <c r="I197" i="8"/>
  <c r="J197" i="8"/>
  <c r="H772" i="5"/>
  <c r="I772" i="5"/>
  <c r="J772" i="5"/>
  <c r="H196" i="8"/>
  <c r="I196" i="8"/>
  <c r="J196" i="8"/>
  <c r="H771" i="5"/>
  <c r="I771" i="5"/>
  <c r="J771" i="5"/>
  <c r="H770" i="5"/>
  <c r="I770" i="5"/>
  <c r="J770" i="5"/>
  <c r="H769" i="5"/>
  <c r="I769" i="5"/>
  <c r="J769" i="5"/>
  <c r="H768" i="5"/>
  <c r="I768" i="5"/>
  <c r="J768" i="5"/>
  <c r="H767" i="5"/>
  <c r="I767" i="5"/>
  <c r="J767" i="5"/>
  <c r="H277" i="5"/>
  <c r="I277" i="5"/>
  <c r="J277" i="5"/>
  <c r="H275" i="5"/>
  <c r="I275" i="5"/>
  <c r="J275" i="5"/>
  <c r="H267" i="5"/>
  <c r="I267" i="5"/>
  <c r="J267" i="5"/>
  <c r="H261" i="5"/>
  <c r="I261" i="5"/>
  <c r="J261" i="5"/>
  <c r="H758" i="5"/>
  <c r="I758" i="5"/>
  <c r="J758" i="5"/>
  <c r="H161" i="5"/>
  <c r="I161" i="5"/>
  <c r="J161" i="5"/>
  <c r="H138" i="5"/>
  <c r="I138" i="5"/>
  <c r="J138" i="5"/>
  <c r="H181" i="5"/>
  <c r="I181" i="5"/>
  <c r="J181" i="5"/>
  <c r="H154" i="5"/>
  <c r="I154" i="5"/>
  <c r="J154" i="5"/>
  <c r="H132" i="5"/>
  <c r="I132" i="5"/>
  <c r="J132" i="5"/>
  <c r="H153" i="5"/>
  <c r="I153" i="5"/>
  <c r="J153" i="5"/>
  <c r="H195" i="8"/>
  <c r="I195" i="8"/>
  <c r="J195" i="8"/>
  <c r="H755" i="5"/>
  <c r="I755" i="5"/>
  <c r="J755" i="5"/>
  <c r="H754" i="5"/>
  <c r="I754" i="5"/>
  <c r="J754" i="5"/>
  <c r="H753" i="5"/>
  <c r="I753" i="5"/>
  <c r="J753" i="5"/>
  <c r="H752" i="5"/>
  <c r="I752" i="5"/>
  <c r="J752" i="5"/>
  <c r="H751" i="5"/>
  <c r="I751" i="5"/>
  <c r="J751" i="5"/>
  <c r="H750" i="5"/>
  <c r="I750" i="5"/>
  <c r="J750" i="5"/>
  <c r="H749" i="5"/>
  <c r="I749" i="5"/>
  <c r="J749" i="5"/>
  <c r="H528" i="5"/>
  <c r="I528" i="5"/>
  <c r="J528" i="5"/>
  <c r="H474" i="5"/>
  <c r="I474" i="5"/>
  <c r="J474" i="5"/>
  <c r="H433" i="5"/>
  <c r="I433" i="5"/>
  <c r="J433" i="5"/>
  <c r="H440" i="5"/>
  <c r="I440" i="5"/>
  <c r="J440" i="5"/>
  <c r="H429" i="5"/>
  <c r="I429" i="5"/>
  <c r="J429" i="5"/>
  <c r="H476" i="5"/>
  <c r="I476" i="5"/>
  <c r="J476" i="5"/>
  <c r="H691" i="5"/>
  <c r="I691" i="5"/>
  <c r="J691" i="5"/>
  <c r="H470" i="5"/>
  <c r="I470" i="5"/>
  <c r="J470" i="5"/>
  <c r="H521" i="5"/>
  <c r="I521" i="5"/>
  <c r="J521" i="5"/>
  <c r="H495" i="5"/>
  <c r="I495" i="5"/>
  <c r="J495" i="5"/>
  <c r="H475" i="5"/>
  <c r="I475" i="5"/>
  <c r="J475" i="5"/>
  <c r="H473" i="5"/>
  <c r="I473" i="5"/>
  <c r="J473" i="5"/>
  <c r="H366" i="5"/>
  <c r="I366" i="5"/>
  <c r="J366" i="5"/>
  <c r="H393" i="5"/>
  <c r="I393" i="5"/>
  <c r="J393" i="5"/>
  <c r="H721" i="5"/>
  <c r="I721" i="5"/>
  <c r="J721" i="5"/>
  <c r="H351" i="5"/>
  <c r="I351" i="5"/>
  <c r="J351" i="5"/>
  <c r="H419" i="5"/>
  <c r="I419" i="5"/>
  <c r="J419" i="5"/>
  <c r="H348" i="5"/>
  <c r="I348" i="5"/>
  <c r="J348" i="5"/>
  <c r="H719" i="5"/>
  <c r="I719" i="5"/>
  <c r="J719" i="5"/>
  <c r="H720" i="5"/>
  <c r="I720" i="5"/>
  <c r="J720" i="5"/>
  <c r="H270" i="5"/>
  <c r="H292" i="5"/>
  <c r="H312" i="5"/>
  <c r="H243" i="5"/>
  <c r="H278" i="5"/>
  <c r="H363" i="5"/>
  <c r="H388" i="5"/>
  <c r="H397" i="5"/>
  <c r="H394" i="5"/>
  <c r="H352" i="5"/>
  <c r="I270" i="5"/>
  <c r="I292" i="5"/>
  <c r="I312" i="5"/>
  <c r="I243" i="5"/>
  <c r="I278" i="5"/>
  <c r="I363" i="5"/>
  <c r="I388" i="5"/>
  <c r="I397" i="5"/>
  <c r="I394" i="5"/>
  <c r="I352" i="5"/>
  <c r="J270" i="5"/>
  <c r="J292" i="5"/>
  <c r="J312" i="5"/>
  <c r="J243" i="5"/>
  <c r="J278" i="5"/>
  <c r="J363" i="5"/>
  <c r="J388" i="5"/>
  <c r="J397" i="5"/>
  <c r="J394" i="5"/>
  <c r="J352" i="5"/>
  <c r="H391" i="5"/>
  <c r="I391" i="5"/>
  <c r="J391" i="5"/>
  <c r="H248" i="5"/>
  <c r="I248" i="5"/>
  <c r="J248" i="5"/>
  <c r="H244" i="5"/>
  <c r="I244" i="5"/>
  <c r="J244" i="5"/>
  <c r="H315" i="5"/>
  <c r="I315" i="5"/>
  <c r="J315" i="5"/>
  <c r="H247" i="5"/>
  <c r="I247" i="5"/>
  <c r="J247" i="5"/>
  <c r="H311" i="5"/>
  <c r="I311" i="5"/>
  <c r="J311" i="5"/>
  <c r="H265" i="5"/>
  <c r="I265" i="5"/>
  <c r="J265" i="5"/>
  <c r="H246" i="5"/>
  <c r="I246" i="5"/>
  <c r="J246" i="5"/>
  <c r="H314" i="5"/>
  <c r="I314" i="5"/>
  <c r="J314" i="5"/>
  <c r="H304" i="5"/>
  <c r="I304" i="5"/>
  <c r="J304" i="5"/>
  <c r="H652" i="5"/>
  <c r="I652" i="5"/>
  <c r="J652" i="5"/>
  <c r="H156" i="5"/>
  <c r="I156" i="5"/>
  <c r="J156" i="5"/>
  <c r="H155" i="5"/>
  <c r="I155" i="5"/>
  <c r="J155" i="5"/>
  <c r="H183" i="5"/>
  <c r="I183" i="5"/>
  <c r="J183" i="5"/>
  <c r="H421" i="5"/>
  <c r="I421" i="5"/>
  <c r="J421" i="5"/>
  <c r="H385" i="5"/>
  <c r="I385" i="5"/>
  <c r="J385" i="5"/>
  <c r="H472" i="5"/>
  <c r="I472" i="5"/>
  <c r="J472" i="5"/>
  <c r="H428" i="5"/>
  <c r="I428" i="5"/>
  <c r="J428" i="5"/>
  <c r="H430" i="5"/>
  <c r="I430" i="5"/>
  <c r="J430" i="5"/>
  <c r="H662" i="5"/>
  <c r="I662" i="5"/>
  <c r="J662" i="5"/>
  <c r="H746" i="5"/>
  <c r="I746" i="5"/>
  <c r="J746" i="5"/>
  <c r="H747" i="5"/>
  <c r="I747" i="5"/>
  <c r="J747" i="5"/>
  <c r="H748" i="5"/>
  <c r="I748" i="5"/>
  <c r="J748" i="5"/>
  <c r="H654" i="5"/>
  <c r="I654" i="5"/>
  <c r="J654" i="5"/>
  <c r="H103" i="5"/>
  <c r="I103" i="5"/>
  <c r="J103" i="5"/>
  <c r="H630" i="5"/>
  <c r="I630" i="5"/>
  <c r="J630" i="5"/>
  <c r="H629" i="5"/>
  <c r="I629" i="5"/>
  <c r="J629" i="5"/>
  <c r="H628" i="5"/>
  <c r="I628" i="5"/>
  <c r="J628" i="5"/>
  <c r="H627" i="5"/>
  <c r="I627" i="5"/>
  <c r="J627" i="5"/>
  <c r="H626" i="5"/>
  <c r="I626" i="5"/>
  <c r="J626" i="5"/>
  <c r="H519" i="5"/>
  <c r="I519" i="5"/>
  <c r="J519" i="5"/>
  <c r="H726" i="5"/>
  <c r="I726" i="5"/>
  <c r="J726" i="5"/>
  <c r="H725" i="5"/>
  <c r="I725" i="5"/>
  <c r="J725" i="5"/>
  <c r="H724" i="5"/>
  <c r="I724" i="5"/>
  <c r="J724" i="5"/>
  <c r="H723" i="5"/>
  <c r="I723" i="5"/>
  <c r="J723" i="5"/>
  <c r="H194" i="8"/>
  <c r="I194" i="8"/>
  <c r="J194" i="8"/>
  <c r="H702" i="5"/>
  <c r="I702" i="5"/>
  <c r="J702" i="5"/>
  <c r="H361" i="5"/>
  <c r="I361" i="5"/>
  <c r="J361" i="5"/>
  <c r="H653" i="5"/>
  <c r="I653" i="5"/>
  <c r="J653" i="5"/>
  <c r="H251" i="5"/>
  <c r="I251" i="5"/>
  <c r="J251" i="5"/>
  <c r="H698" i="5"/>
  <c r="I698" i="5"/>
  <c r="J698" i="5"/>
  <c r="H704" i="5"/>
  <c r="I704" i="5"/>
  <c r="J704" i="5"/>
  <c r="H690" i="5"/>
  <c r="I690" i="5"/>
  <c r="J690" i="5"/>
  <c r="H739" i="5"/>
  <c r="I739" i="5"/>
  <c r="J739" i="5"/>
  <c r="H625" i="5"/>
  <c r="I625" i="5"/>
  <c r="J625" i="5"/>
  <c r="H420" i="5"/>
  <c r="I420" i="5"/>
  <c r="J420" i="5"/>
  <c r="H759" i="5"/>
  <c r="I759" i="5"/>
  <c r="J759" i="5"/>
  <c r="H379" i="5"/>
  <c r="I379" i="5"/>
  <c r="J379" i="5"/>
  <c r="H262" i="5"/>
  <c r="I262" i="5"/>
  <c r="J262" i="5"/>
  <c r="H102" i="5"/>
  <c r="I102" i="5"/>
  <c r="J102" i="5"/>
  <c r="H6" i="5"/>
  <c r="I6" i="5"/>
  <c r="J6" i="5"/>
  <c r="H761" i="5"/>
  <c r="I761" i="5"/>
  <c r="J761" i="5"/>
  <c r="H527" i="5"/>
  <c r="I527" i="5"/>
  <c r="J527" i="5"/>
  <c r="H678" i="5"/>
  <c r="I678" i="5"/>
  <c r="J678" i="5"/>
  <c r="H677" i="5"/>
  <c r="I677" i="5"/>
  <c r="J677" i="5"/>
  <c r="H137" i="5"/>
  <c r="I137" i="5"/>
  <c r="J137" i="5"/>
  <c r="H136" i="5"/>
  <c r="I136" i="5"/>
  <c r="J136" i="5"/>
  <c r="H745" i="5"/>
  <c r="I745" i="5"/>
  <c r="J745" i="5"/>
  <c r="H743" i="5"/>
  <c r="I743" i="5"/>
  <c r="J743" i="5"/>
  <c r="H104" i="5"/>
  <c r="I104" i="5"/>
  <c r="J104" i="5"/>
  <c r="H98" i="5"/>
  <c r="I98" i="5"/>
  <c r="J98" i="5"/>
  <c r="H79" i="5"/>
  <c r="I79" i="5"/>
  <c r="J79" i="5"/>
  <c r="H56" i="5"/>
  <c r="I56" i="5"/>
  <c r="J56" i="5"/>
  <c r="H55" i="5"/>
  <c r="I55" i="5"/>
  <c r="J55" i="5"/>
  <c r="H54" i="5"/>
  <c r="I54" i="5"/>
  <c r="J54" i="5"/>
  <c r="H48" i="5"/>
  <c r="I48" i="5"/>
  <c r="J48" i="5"/>
  <c r="H45" i="5"/>
  <c r="I45" i="5"/>
  <c r="J45" i="5"/>
  <c r="H46" i="5"/>
  <c r="I46" i="5"/>
  <c r="J46" i="5"/>
  <c r="H47" i="5"/>
  <c r="I47" i="5"/>
  <c r="J47" i="5"/>
  <c r="H44" i="5"/>
  <c r="I44" i="5"/>
  <c r="J44" i="5"/>
  <c r="H42" i="5"/>
  <c r="I42" i="5"/>
  <c r="J42" i="5"/>
  <c r="H32" i="5"/>
  <c r="I32" i="5"/>
  <c r="J32" i="5"/>
  <c r="H31" i="5"/>
  <c r="I31" i="5"/>
  <c r="J31" i="5"/>
  <c r="H30" i="5"/>
  <c r="I30" i="5"/>
  <c r="J30" i="5"/>
  <c r="H29" i="5"/>
  <c r="I29" i="5"/>
  <c r="J29" i="5"/>
  <c r="H28" i="5"/>
  <c r="I28" i="5"/>
  <c r="J28" i="5"/>
  <c r="H27" i="5"/>
  <c r="I27" i="5"/>
  <c r="J27" i="5"/>
  <c r="H20" i="5"/>
  <c r="I20" i="5"/>
  <c r="J20" i="5"/>
  <c r="H13" i="5"/>
  <c r="I13" i="5"/>
  <c r="J13" i="5"/>
  <c r="H12" i="5"/>
  <c r="I12" i="5"/>
  <c r="J12" i="5"/>
  <c r="H11" i="5"/>
  <c r="I11" i="5"/>
  <c r="J11" i="5"/>
  <c r="H10" i="5"/>
  <c r="I10" i="5"/>
  <c r="J10" i="5"/>
  <c r="H9" i="5"/>
  <c r="I9" i="5"/>
  <c r="J9" i="5"/>
  <c r="H744" i="5"/>
  <c r="I744" i="5"/>
  <c r="J744" i="5"/>
  <c r="H742" i="5"/>
  <c r="I742" i="5"/>
  <c r="J742" i="5"/>
  <c r="H105" i="5"/>
  <c r="I105" i="5"/>
  <c r="J105" i="5"/>
  <c r="H101" i="5"/>
  <c r="I101" i="5"/>
  <c r="J101" i="5"/>
  <c r="H96" i="5"/>
  <c r="I96" i="5"/>
  <c r="J96" i="5"/>
  <c r="H97" i="5"/>
  <c r="I97" i="5"/>
  <c r="J97" i="5"/>
  <c r="H94" i="5"/>
  <c r="I94" i="5"/>
  <c r="J94" i="5"/>
  <c r="H85" i="5"/>
  <c r="I85" i="5"/>
  <c r="J85" i="5"/>
  <c r="H81" i="5"/>
  <c r="I81" i="5"/>
  <c r="J81" i="5"/>
  <c r="H80" i="5"/>
  <c r="I80" i="5"/>
  <c r="J80" i="5"/>
  <c r="H58" i="5"/>
  <c r="I58" i="5"/>
  <c r="J58" i="5"/>
  <c r="H57" i="5"/>
  <c r="I57" i="5"/>
  <c r="J57" i="5"/>
  <c r="H53" i="5"/>
  <c r="I53" i="5"/>
  <c r="J53" i="5"/>
  <c r="H52" i="5"/>
  <c r="I52" i="5"/>
  <c r="J52" i="5"/>
  <c r="H51" i="5"/>
  <c r="I51" i="5"/>
  <c r="J51" i="5"/>
  <c r="H49" i="5"/>
  <c r="I49" i="5"/>
  <c r="J49" i="5"/>
  <c r="H34" i="5"/>
  <c r="I34" i="5"/>
  <c r="J34" i="5"/>
  <c r="H43" i="5"/>
  <c r="I43" i="5"/>
  <c r="J43" i="5"/>
  <c r="H33" i="5"/>
  <c r="I33" i="5"/>
  <c r="J33" i="5"/>
  <c r="H23" i="5"/>
  <c r="I23" i="5"/>
  <c r="J23" i="5"/>
  <c r="H22" i="5"/>
  <c r="I22" i="5"/>
  <c r="J22" i="5"/>
  <c r="H14" i="5"/>
  <c r="I14" i="5"/>
  <c r="J14" i="5"/>
  <c r="H15" i="5"/>
  <c r="I15" i="5"/>
  <c r="J15" i="5"/>
  <c r="H142" i="5"/>
  <c r="I142" i="5"/>
  <c r="J142" i="5"/>
  <c r="H632" i="5"/>
  <c r="I632" i="5"/>
  <c r="J632" i="5"/>
  <c r="H620" i="5"/>
  <c r="I620" i="5"/>
  <c r="J620" i="5"/>
  <c r="H512" i="5"/>
  <c r="H513" i="5"/>
  <c r="H514" i="5"/>
  <c r="H526" i="5"/>
  <c r="H515" i="5"/>
  <c r="H516" i="5"/>
  <c r="H599" i="5"/>
  <c r="H642" i="5"/>
  <c r="H517" i="5"/>
  <c r="H643" i="5"/>
  <c r="H518" i="5"/>
  <c r="H644" i="5"/>
  <c r="H600" i="5"/>
  <c r="H601" i="5"/>
  <c r="H602" i="5"/>
  <c r="H649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I512" i="5"/>
  <c r="I513" i="5"/>
  <c r="I514" i="5"/>
  <c r="I526" i="5"/>
  <c r="I515" i="5"/>
  <c r="I516" i="5"/>
  <c r="I599" i="5"/>
  <c r="I642" i="5"/>
  <c r="I517" i="5"/>
  <c r="I643" i="5"/>
  <c r="I518" i="5"/>
  <c r="I644" i="5"/>
  <c r="I600" i="5"/>
  <c r="I601" i="5"/>
  <c r="I602" i="5"/>
  <c r="I649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J512" i="5"/>
  <c r="J513" i="5"/>
  <c r="J514" i="5"/>
  <c r="J526" i="5"/>
  <c r="J515" i="5"/>
  <c r="J516" i="5"/>
  <c r="J599" i="5"/>
  <c r="J642" i="5"/>
  <c r="J517" i="5"/>
  <c r="J643" i="5"/>
  <c r="J518" i="5"/>
  <c r="J644" i="5"/>
  <c r="J600" i="5"/>
  <c r="J601" i="5"/>
  <c r="J602" i="5"/>
  <c r="J649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H531" i="5"/>
  <c r="H530" i="5"/>
  <c r="H622" i="5"/>
  <c r="H633" i="5"/>
  <c r="H631" i="5"/>
  <c r="H624" i="5"/>
  <c r="H533" i="5"/>
  <c r="H621" i="5"/>
  <c r="H532" i="5"/>
  <c r="H541" i="5"/>
  <c r="H536" i="5"/>
  <c r="H538" i="5"/>
  <c r="I531" i="5"/>
  <c r="I530" i="5"/>
  <c r="I622" i="5"/>
  <c r="I633" i="5"/>
  <c r="I631" i="5"/>
  <c r="I624" i="5"/>
  <c r="I533" i="5"/>
  <c r="I621" i="5"/>
  <c r="I532" i="5"/>
  <c r="I541" i="5"/>
  <c r="I536" i="5"/>
  <c r="I538" i="5"/>
  <c r="J531" i="5"/>
  <c r="J530" i="5"/>
  <c r="J622" i="5"/>
  <c r="J633" i="5"/>
  <c r="J631" i="5"/>
  <c r="J624" i="5"/>
  <c r="J533" i="5"/>
  <c r="J621" i="5"/>
  <c r="J532" i="5"/>
  <c r="J541" i="5"/>
  <c r="J536" i="5"/>
  <c r="J538" i="5"/>
  <c r="H646" i="5"/>
  <c r="H542" i="5"/>
  <c r="H623" i="5"/>
  <c r="H535" i="5"/>
  <c r="H537" i="5"/>
  <c r="I646" i="5"/>
  <c r="I542" i="5"/>
  <c r="I623" i="5"/>
  <c r="I535" i="5"/>
  <c r="I537" i="5"/>
  <c r="J646" i="5"/>
  <c r="J542" i="5"/>
  <c r="J623" i="5"/>
  <c r="J535" i="5"/>
  <c r="J537" i="5"/>
  <c r="H499" i="5"/>
  <c r="H496" i="5"/>
  <c r="H523" i="5"/>
  <c r="H522" i="5"/>
  <c r="H498" i="5"/>
  <c r="H539" i="5"/>
  <c r="H635" i="5"/>
  <c r="H494" i="5"/>
  <c r="H634" i="5"/>
  <c r="H497" i="5"/>
  <c r="H645" i="5"/>
  <c r="H619" i="5"/>
  <c r="H540" i="5"/>
  <c r="H534" i="5"/>
  <c r="I499" i="5"/>
  <c r="I496" i="5"/>
  <c r="I523" i="5"/>
  <c r="I522" i="5"/>
  <c r="I498" i="5"/>
  <c r="I539" i="5"/>
  <c r="I635" i="5"/>
  <c r="I494" i="5"/>
  <c r="I634" i="5"/>
  <c r="I497" i="5"/>
  <c r="I645" i="5"/>
  <c r="I619" i="5"/>
  <c r="I540" i="5"/>
  <c r="I534" i="5"/>
  <c r="J499" i="5"/>
  <c r="J496" i="5"/>
  <c r="J523" i="5"/>
  <c r="J522" i="5"/>
  <c r="J498" i="5"/>
  <c r="J539" i="5"/>
  <c r="J635" i="5"/>
  <c r="J494" i="5"/>
  <c r="J634" i="5"/>
  <c r="J497" i="5"/>
  <c r="J645" i="5"/>
  <c r="J619" i="5"/>
  <c r="J540" i="5"/>
  <c r="J534" i="5"/>
  <c r="H520" i="5"/>
  <c r="I520" i="5"/>
  <c r="J520" i="5"/>
  <c r="H598" i="5"/>
  <c r="I598" i="5"/>
  <c r="J598" i="5"/>
  <c r="H597" i="5"/>
  <c r="I597" i="5"/>
  <c r="J597" i="5"/>
  <c r="H596" i="5"/>
  <c r="I596" i="5"/>
  <c r="J596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H577" i="5"/>
  <c r="H578" i="5"/>
  <c r="H579" i="5"/>
  <c r="H580" i="5"/>
  <c r="H581" i="5"/>
  <c r="H582" i="5"/>
  <c r="I577" i="5"/>
  <c r="I578" i="5"/>
  <c r="I579" i="5"/>
  <c r="I580" i="5"/>
  <c r="I581" i="5"/>
  <c r="I582" i="5"/>
  <c r="J577" i="5"/>
  <c r="J578" i="5"/>
  <c r="J579" i="5"/>
  <c r="J580" i="5"/>
  <c r="J581" i="5"/>
  <c r="J582" i="5"/>
  <c r="H507" i="5"/>
  <c r="H525" i="5"/>
  <c r="H508" i="5"/>
  <c r="H509" i="5"/>
  <c r="H573" i="5"/>
  <c r="H639" i="5"/>
  <c r="H510" i="5"/>
  <c r="H640" i="5"/>
  <c r="H511" i="5"/>
  <c r="H641" i="5"/>
  <c r="H574" i="5"/>
  <c r="H575" i="5"/>
  <c r="H576" i="5"/>
  <c r="H648" i="5"/>
  <c r="I507" i="5"/>
  <c r="I525" i="5"/>
  <c r="I508" i="5"/>
  <c r="I509" i="5"/>
  <c r="I573" i="5"/>
  <c r="I639" i="5"/>
  <c r="I510" i="5"/>
  <c r="I640" i="5"/>
  <c r="I511" i="5"/>
  <c r="I641" i="5"/>
  <c r="I574" i="5"/>
  <c r="I575" i="5"/>
  <c r="I576" i="5"/>
  <c r="I648" i="5"/>
  <c r="J507" i="5"/>
  <c r="J525" i="5"/>
  <c r="J508" i="5"/>
  <c r="J509" i="5"/>
  <c r="J573" i="5"/>
  <c r="J639" i="5"/>
  <c r="J510" i="5"/>
  <c r="J640" i="5"/>
  <c r="J511" i="5"/>
  <c r="J641" i="5"/>
  <c r="J574" i="5"/>
  <c r="J575" i="5"/>
  <c r="J576" i="5"/>
  <c r="J648" i="5"/>
  <c r="H506" i="5"/>
  <c r="I506" i="5"/>
  <c r="J506" i="5"/>
  <c r="H135" i="8"/>
  <c r="I135" i="8"/>
  <c r="J135" i="8"/>
  <c r="H500" i="5"/>
  <c r="H501" i="5"/>
  <c r="H524" i="5"/>
  <c r="H502" i="5"/>
  <c r="H503" i="5"/>
  <c r="H544" i="5"/>
  <c r="H636" i="5"/>
  <c r="H504" i="5"/>
  <c r="H637" i="5"/>
  <c r="H505" i="5"/>
  <c r="H638" i="5"/>
  <c r="H545" i="5"/>
  <c r="H546" i="5"/>
  <c r="H547" i="5"/>
  <c r="H647" i="5"/>
  <c r="H712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716" i="5"/>
  <c r="H572" i="5"/>
  <c r="I500" i="5"/>
  <c r="I501" i="5"/>
  <c r="I524" i="5"/>
  <c r="I502" i="5"/>
  <c r="I503" i="5"/>
  <c r="I544" i="5"/>
  <c r="I636" i="5"/>
  <c r="I504" i="5"/>
  <c r="I637" i="5"/>
  <c r="I505" i="5"/>
  <c r="I638" i="5"/>
  <c r="I545" i="5"/>
  <c r="I546" i="5"/>
  <c r="I547" i="5"/>
  <c r="I647" i="5"/>
  <c r="I712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716" i="5"/>
  <c r="I572" i="5"/>
  <c r="J500" i="5"/>
  <c r="J501" i="5"/>
  <c r="J524" i="5"/>
  <c r="J502" i="5"/>
  <c r="J503" i="5"/>
  <c r="J544" i="5"/>
  <c r="J636" i="5"/>
  <c r="J504" i="5"/>
  <c r="J637" i="5"/>
  <c r="J505" i="5"/>
  <c r="J638" i="5"/>
  <c r="J545" i="5"/>
  <c r="J546" i="5"/>
  <c r="J547" i="5"/>
  <c r="J647" i="5"/>
  <c r="J712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716" i="5"/>
  <c r="J572" i="5"/>
  <c r="J167" i="8"/>
  <c r="J193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92" i="8"/>
  <c r="J171" i="8"/>
  <c r="J142" i="8"/>
  <c r="J141" i="8"/>
  <c r="J140" i="8"/>
  <c r="J170" i="8"/>
  <c r="J134" i="8"/>
  <c r="J169" i="8"/>
  <c r="J133" i="8"/>
  <c r="J168" i="8"/>
  <c r="J139" i="8"/>
  <c r="J132" i="8"/>
  <c r="J131" i="8"/>
  <c r="J136" i="8"/>
  <c r="J130" i="8"/>
  <c r="I167" i="8"/>
  <c r="I193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92" i="8"/>
  <c r="I171" i="8"/>
  <c r="I142" i="8"/>
  <c r="I141" i="8"/>
  <c r="I140" i="8"/>
  <c r="I170" i="8"/>
  <c r="I134" i="8"/>
  <c r="I169" i="8"/>
  <c r="I133" i="8"/>
  <c r="I168" i="8"/>
  <c r="I139" i="8"/>
  <c r="I132" i="8"/>
  <c r="I131" i="8"/>
  <c r="I136" i="8"/>
  <c r="I130" i="8"/>
  <c r="H167" i="8"/>
  <c r="H193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92" i="8"/>
  <c r="H171" i="8"/>
  <c r="H142" i="8"/>
  <c r="H141" i="8"/>
  <c r="H140" i="8"/>
  <c r="H170" i="8"/>
  <c r="H134" i="8"/>
  <c r="H169" i="8"/>
  <c r="H133" i="8"/>
  <c r="H168" i="8"/>
  <c r="H139" i="8"/>
  <c r="H132" i="8"/>
  <c r="H131" i="8"/>
  <c r="H136" i="8"/>
  <c r="H130" i="8"/>
  <c r="H741" i="5"/>
  <c r="I741" i="5"/>
  <c r="J741" i="5"/>
  <c r="H740" i="5"/>
  <c r="I740" i="5"/>
  <c r="J740" i="5"/>
  <c r="H738" i="5"/>
  <c r="I738" i="5"/>
  <c r="J738" i="5"/>
  <c r="H737" i="5"/>
  <c r="I737" i="5"/>
  <c r="J737" i="5"/>
  <c r="H762" i="5"/>
  <c r="I762" i="5"/>
  <c r="J762" i="5"/>
  <c r="H734" i="5"/>
  <c r="I734" i="5"/>
  <c r="J734" i="5"/>
  <c r="H672" i="5"/>
  <c r="I672" i="5"/>
  <c r="J672" i="5"/>
  <c r="H711" i="5"/>
  <c r="I711" i="5"/>
  <c r="J711" i="5"/>
  <c r="H710" i="5"/>
  <c r="I710" i="5"/>
  <c r="J710" i="5"/>
  <c r="H688" i="5"/>
  <c r="I688" i="5"/>
  <c r="J688" i="5"/>
  <c r="H687" i="5"/>
  <c r="I687" i="5"/>
  <c r="J687" i="5"/>
  <c r="H686" i="5"/>
  <c r="I686" i="5"/>
  <c r="J686" i="5"/>
  <c r="H489" i="5"/>
  <c r="I489" i="5"/>
  <c r="J489" i="5"/>
  <c r="H487" i="5"/>
  <c r="I487" i="5"/>
  <c r="J487" i="5"/>
  <c r="H480" i="5"/>
  <c r="I480" i="5"/>
  <c r="J480" i="5"/>
  <c r="H478" i="5"/>
  <c r="I478" i="5"/>
  <c r="J478" i="5"/>
  <c r="H477" i="5"/>
  <c r="I477" i="5"/>
  <c r="J477" i="5"/>
  <c r="H455" i="5"/>
  <c r="I455" i="5"/>
  <c r="J455" i="5"/>
  <c r="H454" i="5"/>
  <c r="I454" i="5"/>
  <c r="J454" i="5"/>
  <c r="H453" i="5"/>
  <c r="I453" i="5"/>
  <c r="J453" i="5"/>
  <c r="H452" i="5"/>
  <c r="I452" i="5"/>
  <c r="J452" i="5"/>
  <c r="H413" i="5"/>
  <c r="I413" i="5"/>
  <c r="J413" i="5"/>
  <c r="H411" i="5"/>
  <c r="I411" i="5"/>
  <c r="J411" i="5"/>
  <c r="H410" i="5"/>
  <c r="I410" i="5"/>
  <c r="J410" i="5"/>
  <c r="H408" i="5"/>
  <c r="I408" i="5"/>
  <c r="J408" i="5"/>
  <c r="H334" i="5"/>
  <c r="I334" i="5"/>
  <c r="J334" i="5"/>
  <c r="H333" i="5"/>
  <c r="I333" i="5"/>
  <c r="J333" i="5"/>
  <c r="H332" i="5"/>
  <c r="I332" i="5"/>
  <c r="J332" i="5"/>
  <c r="H331" i="5"/>
  <c r="I331" i="5"/>
  <c r="J331" i="5"/>
  <c r="H327" i="5"/>
  <c r="I327" i="5"/>
  <c r="J327" i="5"/>
  <c r="H326" i="5"/>
  <c r="I326" i="5"/>
  <c r="J326" i="5"/>
  <c r="H325" i="5"/>
  <c r="I325" i="5"/>
  <c r="J325" i="5"/>
  <c r="H236" i="5"/>
  <c r="I236" i="5"/>
  <c r="J236" i="5"/>
  <c r="H235" i="5"/>
  <c r="I235" i="5"/>
  <c r="J235" i="5"/>
  <c r="H233" i="5"/>
  <c r="I233" i="5"/>
  <c r="J233" i="5"/>
  <c r="H231" i="5"/>
  <c r="I231" i="5"/>
  <c r="J231" i="5"/>
  <c r="H230" i="5"/>
  <c r="I230" i="5"/>
  <c r="J230" i="5"/>
  <c r="H229" i="5"/>
  <c r="I229" i="5"/>
  <c r="J229" i="5"/>
  <c r="H228" i="5"/>
  <c r="I228" i="5"/>
  <c r="J228" i="5"/>
  <c r="H227" i="5"/>
  <c r="I227" i="5"/>
  <c r="J227" i="5"/>
  <c r="H224" i="5"/>
  <c r="I224" i="5"/>
  <c r="J224" i="5"/>
  <c r="H223" i="5"/>
  <c r="I223" i="5"/>
  <c r="J223" i="5"/>
  <c r="H222" i="5"/>
  <c r="I222" i="5"/>
  <c r="J222" i="5"/>
  <c r="H221" i="5"/>
  <c r="I221" i="5"/>
  <c r="J221" i="5"/>
  <c r="H219" i="5"/>
  <c r="I219" i="5"/>
  <c r="J219" i="5"/>
  <c r="H218" i="5"/>
  <c r="I218" i="5"/>
  <c r="J218" i="5"/>
  <c r="H207" i="5"/>
  <c r="H209" i="5"/>
  <c r="H210" i="5"/>
  <c r="H211" i="5"/>
  <c r="H213" i="5"/>
  <c r="H215" i="5"/>
  <c r="H216" i="5"/>
  <c r="I207" i="5"/>
  <c r="I209" i="5"/>
  <c r="I210" i="5"/>
  <c r="I211" i="5"/>
  <c r="I213" i="5"/>
  <c r="I215" i="5"/>
  <c r="I216" i="5"/>
  <c r="J207" i="5"/>
  <c r="J209" i="5"/>
  <c r="J210" i="5"/>
  <c r="J211" i="5"/>
  <c r="J213" i="5"/>
  <c r="J215" i="5"/>
  <c r="J216" i="5"/>
  <c r="H124" i="5"/>
  <c r="I124" i="5"/>
  <c r="J124" i="5"/>
  <c r="H92" i="5"/>
  <c r="I92" i="5"/>
  <c r="J92" i="5"/>
  <c r="H77" i="5"/>
  <c r="I77" i="5"/>
  <c r="J77" i="5"/>
  <c r="H76" i="5"/>
  <c r="I76" i="5"/>
  <c r="J76" i="5"/>
  <c r="H75" i="5"/>
  <c r="I75" i="5"/>
  <c r="J75" i="5"/>
  <c r="H90" i="5"/>
  <c r="I90" i="5"/>
  <c r="J90" i="5"/>
  <c r="H73" i="5"/>
  <c r="I73" i="5"/>
  <c r="J73" i="5"/>
  <c r="H72" i="5"/>
  <c r="I72" i="5"/>
  <c r="J72" i="5"/>
  <c r="H71" i="5"/>
  <c r="I71" i="5"/>
  <c r="J71" i="5"/>
  <c r="H68" i="5"/>
  <c r="I68" i="5"/>
  <c r="J68" i="5"/>
  <c r="H67" i="5"/>
  <c r="I67" i="5"/>
  <c r="J67" i="5"/>
  <c r="H87" i="5"/>
  <c r="I87" i="5"/>
  <c r="J87" i="5"/>
  <c r="H86" i="5"/>
  <c r="I86" i="5"/>
  <c r="J86" i="5"/>
  <c r="H84" i="5"/>
  <c r="I84" i="5"/>
  <c r="J84" i="5"/>
  <c r="H83" i="5"/>
  <c r="I83" i="5"/>
  <c r="J83" i="5"/>
  <c r="H65" i="5"/>
  <c r="I65" i="5"/>
  <c r="J65" i="5"/>
  <c r="H64" i="5"/>
  <c r="I64" i="5"/>
  <c r="J64" i="5"/>
  <c r="H62" i="5"/>
  <c r="I62" i="5"/>
  <c r="J62" i="5"/>
  <c r="H61" i="5"/>
  <c r="I61" i="5"/>
  <c r="J61" i="5"/>
  <c r="H18" i="5"/>
  <c r="I18" i="5"/>
  <c r="J18" i="5"/>
  <c r="H41" i="5"/>
  <c r="I41" i="5"/>
  <c r="J41" i="5"/>
  <c r="H40" i="5"/>
  <c r="I40" i="5"/>
  <c r="J40" i="5"/>
  <c r="H39" i="5"/>
  <c r="I39" i="5"/>
  <c r="J39" i="5"/>
  <c r="H37" i="5"/>
  <c r="I37" i="5"/>
  <c r="J37" i="5"/>
  <c r="H36" i="5"/>
  <c r="I36" i="5"/>
  <c r="J36" i="5"/>
  <c r="H24" i="5"/>
  <c r="I24" i="5"/>
  <c r="J24" i="5"/>
  <c r="H123" i="8" l="1"/>
  <c r="I123" i="8"/>
  <c r="J123" i="8"/>
  <c r="H59" i="8" l="1"/>
  <c r="I59" i="8"/>
  <c r="J59" i="8"/>
  <c r="H705" i="5"/>
  <c r="I705" i="5"/>
  <c r="J705" i="5"/>
  <c r="H708" i="5"/>
  <c r="I708" i="5"/>
  <c r="J708" i="5"/>
  <c r="H706" i="5"/>
  <c r="I706" i="5"/>
  <c r="J706" i="5"/>
  <c r="H701" i="5" l="1"/>
  <c r="I701" i="5"/>
  <c r="J701" i="5"/>
  <c r="H733" i="5" l="1"/>
  <c r="I733" i="5"/>
  <c r="J733" i="5"/>
  <c r="H735" i="5"/>
  <c r="I735" i="5"/>
  <c r="J735" i="5"/>
  <c r="H732" i="5"/>
  <c r="I732" i="5"/>
  <c r="J732" i="5"/>
  <c r="H689" i="5"/>
  <c r="I689" i="5"/>
  <c r="J689" i="5"/>
  <c r="H659" i="5"/>
  <c r="I659" i="5"/>
  <c r="J659" i="5"/>
  <c r="H685" i="5"/>
  <c r="I685" i="5"/>
  <c r="J685" i="5"/>
  <c r="H703" i="5"/>
  <c r="I703" i="5"/>
  <c r="J703" i="5"/>
  <c r="H684" i="5"/>
  <c r="I684" i="5"/>
  <c r="J684" i="5"/>
  <c r="H683" i="5"/>
  <c r="I683" i="5"/>
  <c r="J683" i="5"/>
  <c r="H493" i="5"/>
  <c r="I493" i="5"/>
  <c r="J493" i="5"/>
  <c r="H492" i="5"/>
  <c r="I492" i="5"/>
  <c r="J492" i="5"/>
  <c r="H491" i="5"/>
  <c r="I491" i="5"/>
  <c r="J491" i="5"/>
  <c r="H490" i="5"/>
  <c r="I490" i="5"/>
  <c r="J490" i="5"/>
  <c r="H488" i="5"/>
  <c r="I488" i="5"/>
  <c r="J488" i="5"/>
  <c r="H486" i="5"/>
  <c r="I486" i="5"/>
  <c r="J486" i="5"/>
  <c r="H485" i="5"/>
  <c r="I485" i="5"/>
  <c r="J485" i="5"/>
  <c r="H484" i="5"/>
  <c r="I484" i="5"/>
  <c r="J484" i="5"/>
  <c r="H765" i="5"/>
  <c r="I765" i="5"/>
  <c r="J765" i="5"/>
  <c r="H764" i="5"/>
  <c r="I764" i="5"/>
  <c r="J764" i="5"/>
  <c r="H481" i="5"/>
  <c r="I481" i="5"/>
  <c r="J481" i="5"/>
  <c r="H479" i="5"/>
  <c r="I479" i="5"/>
  <c r="J479" i="5"/>
  <c r="H450" i="5"/>
  <c r="I450" i="5"/>
  <c r="J450" i="5"/>
  <c r="H449" i="5"/>
  <c r="I449" i="5"/>
  <c r="J449" i="5"/>
  <c r="H443" i="5"/>
  <c r="I443" i="5"/>
  <c r="J443" i="5"/>
  <c r="H451" i="5"/>
  <c r="I451" i="5"/>
  <c r="J451" i="5"/>
  <c r="H442" i="5"/>
  <c r="I442" i="5"/>
  <c r="J442" i="5"/>
  <c r="H441" i="5"/>
  <c r="I441" i="5"/>
  <c r="J441" i="5"/>
  <c r="H418" i="5"/>
  <c r="I418" i="5"/>
  <c r="J418" i="5"/>
  <c r="H417" i="5"/>
  <c r="I417" i="5"/>
  <c r="J417" i="5"/>
  <c r="H416" i="5"/>
  <c r="I416" i="5"/>
  <c r="J416" i="5"/>
  <c r="H415" i="5"/>
  <c r="I415" i="5"/>
  <c r="J415" i="5"/>
  <c r="H414" i="5"/>
  <c r="I414" i="5"/>
  <c r="J414" i="5"/>
  <c r="H412" i="5"/>
  <c r="I412" i="5"/>
  <c r="J412" i="5"/>
  <c r="H409" i="5"/>
  <c r="I409" i="5"/>
  <c r="J409" i="5"/>
  <c r="H407" i="5"/>
  <c r="I407" i="5"/>
  <c r="J407" i="5"/>
  <c r="H406" i="5"/>
  <c r="I406" i="5"/>
  <c r="J406" i="5"/>
  <c r="H405" i="5"/>
  <c r="I405" i="5"/>
  <c r="J405" i="5"/>
  <c r="H404" i="5"/>
  <c r="I404" i="5"/>
  <c r="J404" i="5"/>
  <c r="H403" i="5"/>
  <c r="I403" i="5"/>
  <c r="J403" i="5"/>
  <c r="H402" i="5"/>
  <c r="I402" i="5"/>
  <c r="J402" i="5"/>
  <c r="H401" i="5"/>
  <c r="I401" i="5"/>
  <c r="J401" i="5"/>
  <c r="H400" i="5"/>
  <c r="I400" i="5"/>
  <c r="J400" i="5"/>
  <c r="H399" i="5"/>
  <c r="I399" i="5"/>
  <c r="J399" i="5"/>
  <c r="H398" i="5"/>
  <c r="I398" i="5"/>
  <c r="J398" i="5"/>
  <c r="H335" i="5"/>
  <c r="I335" i="5"/>
  <c r="J335" i="5"/>
  <c r="H330" i="5"/>
  <c r="I330" i="5"/>
  <c r="J330" i="5"/>
  <c r="H329" i="5"/>
  <c r="I329" i="5"/>
  <c r="J329" i="5"/>
  <c r="H328" i="5"/>
  <c r="I328" i="5"/>
  <c r="J328" i="5"/>
  <c r="H234" i="5"/>
  <c r="I234" i="5"/>
  <c r="J234" i="5"/>
  <c r="H232" i="5"/>
  <c r="I232" i="5"/>
  <c r="J232" i="5"/>
  <c r="H226" i="5"/>
  <c r="I226" i="5"/>
  <c r="J226" i="5"/>
  <c r="H225" i="5"/>
  <c r="I225" i="5"/>
  <c r="J225" i="5"/>
  <c r="H220" i="5"/>
  <c r="I220" i="5"/>
  <c r="J220" i="5"/>
  <c r="H217" i="5"/>
  <c r="I217" i="5"/>
  <c r="J217" i="5"/>
  <c r="H208" i="5"/>
  <c r="H212" i="5"/>
  <c r="H214" i="5"/>
  <c r="I208" i="5"/>
  <c r="I212" i="5"/>
  <c r="I214" i="5"/>
  <c r="J208" i="5"/>
  <c r="J212" i="5"/>
  <c r="J214" i="5"/>
  <c r="H206" i="5"/>
  <c r="I206" i="5"/>
  <c r="J206" i="5"/>
  <c r="H111" i="5"/>
  <c r="I111" i="5"/>
  <c r="J111" i="5"/>
  <c r="H112" i="5"/>
  <c r="I112" i="5"/>
  <c r="J112" i="5"/>
  <c r="H129" i="5"/>
  <c r="I129" i="5"/>
  <c r="J129" i="5"/>
  <c r="H125" i="5"/>
  <c r="I125" i="5"/>
  <c r="J125" i="5"/>
  <c r="H159" i="5"/>
  <c r="I159" i="5"/>
  <c r="J159" i="5"/>
  <c r="H123" i="5"/>
  <c r="I123" i="5"/>
  <c r="J123" i="5"/>
  <c r="H122" i="5"/>
  <c r="I122" i="5"/>
  <c r="J122" i="5"/>
  <c r="H121" i="5"/>
  <c r="I121" i="5"/>
  <c r="J121" i="5"/>
  <c r="H106" i="5"/>
  <c r="I106" i="5"/>
  <c r="J106" i="5"/>
  <c r="H164" i="5"/>
  <c r="I164" i="5"/>
  <c r="J164" i="5"/>
  <c r="H93" i="5"/>
  <c r="I93" i="5"/>
  <c r="J93" i="5"/>
  <c r="H91" i="5"/>
  <c r="I91" i="5"/>
  <c r="J91" i="5"/>
  <c r="H78" i="5"/>
  <c r="I78" i="5"/>
  <c r="J78" i="5"/>
  <c r="H74" i="5"/>
  <c r="I74" i="5"/>
  <c r="J74" i="5"/>
  <c r="H89" i="5"/>
  <c r="I89" i="5"/>
  <c r="J89" i="5"/>
  <c r="H70" i="5"/>
  <c r="I70" i="5"/>
  <c r="J70" i="5"/>
  <c r="H69" i="5"/>
  <c r="I69" i="5"/>
  <c r="J69" i="5"/>
  <c r="H66" i="5"/>
  <c r="I66" i="5"/>
  <c r="J66" i="5"/>
  <c r="H88" i="5"/>
  <c r="I88" i="5"/>
  <c r="J88" i="5"/>
  <c r="H82" i="5"/>
  <c r="I82" i="5"/>
  <c r="J82" i="5"/>
  <c r="H63" i="5"/>
  <c r="I63" i="5"/>
  <c r="J63" i="5"/>
  <c r="H60" i="5"/>
  <c r="I60" i="5"/>
  <c r="J60" i="5"/>
  <c r="H19" i="5"/>
  <c r="I19" i="5"/>
  <c r="J19" i="5"/>
  <c r="H17" i="5"/>
  <c r="I17" i="5"/>
  <c r="J17" i="5"/>
  <c r="H16" i="5"/>
  <c r="I16" i="5"/>
  <c r="J16" i="5"/>
  <c r="H26" i="5"/>
  <c r="I26" i="5"/>
  <c r="J26" i="5"/>
  <c r="H25" i="5"/>
  <c r="I25" i="5"/>
  <c r="J25" i="5"/>
  <c r="H38" i="5"/>
  <c r="I38" i="5"/>
  <c r="J38" i="5"/>
  <c r="H8" i="5"/>
  <c r="I8" i="5"/>
  <c r="J8" i="5"/>
  <c r="H35" i="5"/>
  <c r="I35" i="5"/>
  <c r="J35" i="5"/>
  <c r="J680" i="5"/>
  <c r="I731" i="5"/>
  <c r="J731" i="5"/>
  <c r="H731" i="5"/>
  <c r="H186" i="8"/>
  <c r="I183" i="8"/>
  <c r="J181" i="8"/>
  <c r="J188" i="8"/>
  <c r="H185" i="8"/>
  <c r="H191" i="8"/>
  <c r="H187" i="8"/>
  <c r="I184" i="8"/>
  <c r="J182" i="8"/>
  <c r="J129" i="8"/>
  <c r="H181" i="8"/>
  <c r="H188" i="8"/>
  <c r="I185" i="8"/>
  <c r="J175" i="8"/>
  <c r="J191" i="8"/>
  <c r="H182" i="8"/>
  <c r="H129" i="8"/>
  <c r="I186" i="8"/>
  <c r="J183" i="8"/>
  <c r="I175" i="8"/>
  <c r="H175" i="8"/>
  <c r="I191" i="8"/>
  <c r="I187" i="8"/>
  <c r="J184" i="8"/>
  <c r="J187" i="8"/>
  <c r="H183" i="8"/>
  <c r="I181" i="8"/>
  <c r="I188" i="8"/>
  <c r="J185" i="8"/>
  <c r="H184" i="8"/>
  <c r="I182" i="8"/>
  <c r="I129" i="8"/>
  <c r="J186" i="8"/>
  <c r="H173" i="8"/>
  <c r="I174" i="8"/>
  <c r="J176" i="8"/>
  <c r="H122" i="8"/>
  <c r="H138" i="8"/>
  <c r="I125" i="8"/>
  <c r="J120" i="8"/>
  <c r="J128" i="8"/>
  <c r="H174" i="8"/>
  <c r="I176" i="8"/>
  <c r="J177" i="8"/>
  <c r="I126" i="8"/>
  <c r="J121" i="8"/>
  <c r="J137" i="8"/>
  <c r="H729" i="5"/>
  <c r="I120" i="8"/>
  <c r="J729" i="5"/>
  <c r="H190" i="8"/>
  <c r="H176" i="8"/>
  <c r="I177" i="8"/>
  <c r="J189" i="8"/>
  <c r="H124" i="8"/>
  <c r="I119" i="8"/>
  <c r="I127" i="8"/>
  <c r="J122" i="8"/>
  <c r="J138" i="8"/>
  <c r="I729" i="5"/>
  <c r="H180" i="8"/>
  <c r="H177" i="8"/>
  <c r="I189" i="8"/>
  <c r="J178" i="8"/>
  <c r="H125" i="8"/>
  <c r="I128" i="8"/>
  <c r="I190" i="8"/>
  <c r="H189" i="8"/>
  <c r="I178" i="8"/>
  <c r="J179" i="8"/>
  <c r="H126" i="8"/>
  <c r="I121" i="8"/>
  <c r="I137" i="8"/>
  <c r="J124" i="8"/>
  <c r="H118" i="8"/>
  <c r="H728" i="5"/>
  <c r="I180" i="8"/>
  <c r="H178" i="8"/>
  <c r="I179" i="8"/>
  <c r="H119" i="8"/>
  <c r="H127" i="8"/>
  <c r="I122" i="8"/>
  <c r="I138" i="8"/>
  <c r="J125" i="8"/>
  <c r="I118" i="8"/>
  <c r="J190" i="8"/>
  <c r="H179" i="8"/>
  <c r="J173" i="8"/>
  <c r="H120" i="8"/>
  <c r="H128" i="8"/>
  <c r="I172" i="8"/>
  <c r="J126" i="8"/>
  <c r="J118" i="8"/>
  <c r="J728" i="5"/>
  <c r="I728" i="5"/>
  <c r="J180" i="8"/>
  <c r="I173" i="8"/>
  <c r="J174" i="8"/>
  <c r="H121" i="8"/>
  <c r="H137" i="8"/>
  <c r="I124" i="8"/>
  <c r="J119" i="8"/>
  <c r="J127" i="8"/>
  <c r="J172" i="8"/>
  <c r="H102" i="8"/>
  <c r="H100" i="8"/>
  <c r="H116" i="8"/>
  <c r="I110" i="8"/>
  <c r="I114" i="8"/>
  <c r="J103" i="8"/>
  <c r="J112" i="8"/>
  <c r="H94" i="8"/>
  <c r="I94" i="8"/>
  <c r="J94" i="8"/>
  <c r="H32" i="8"/>
  <c r="H106" i="8"/>
  <c r="H101" i="8"/>
  <c r="H117" i="8"/>
  <c r="I104" i="8"/>
  <c r="I115" i="8"/>
  <c r="J109" i="8"/>
  <c r="J113" i="8"/>
  <c r="H95" i="8"/>
  <c r="I95" i="8"/>
  <c r="J95" i="8"/>
  <c r="J31" i="8"/>
  <c r="H107" i="8"/>
  <c r="H105" i="8"/>
  <c r="I102" i="8"/>
  <c r="I100" i="8"/>
  <c r="I116" i="8"/>
  <c r="J110" i="8"/>
  <c r="J114" i="8"/>
  <c r="H96" i="8"/>
  <c r="I96" i="8"/>
  <c r="J96" i="8"/>
  <c r="I31" i="8"/>
  <c r="J98" i="8"/>
  <c r="H108" i="8"/>
  <c r="H111" i="8"/>
  <c r="I106" i="8"/>
  <c r="I101" i="8"/>
  <c r="I117" i="8"/>
  <c r="J104" i="8"/>
  <c r="J115" i="8"/>
  <c r="H97" i="8"/>
  <c r="I97" i="8"/>
  <c r="J97" i="8"/>
  <c r="H31" i="8"/>
  <c r="H103" i="8"/>
  <c r="H112" i="8"/>
  <c r="I107" i="8"/>
  <c r="I105" i="8"/>
  <c r="J102" i="8"/>
  <c r="J100" i="8"/>
  <c r="J116" i="8"/>
  <c r="H98" i="8"/>
  <c r="H109" i="8"/>
  <c r="H113" i="8"/>
  <c r="I108" i="8"/>
  <c r="I111" i="8"/>
  <c r="J106" i="8"/>
  <c r="J101" i="8"/>
  <c r="J117" i="8"/>
  <c r="H99" i="8"/>
  <c r="I99" i="8"/>
  <c r="J99" i="8"/>
  <c r="H114" i="8"/>
  <c r="I103" i="8"/>
  <c r="I112" i="8"/>
  <c r="J107" i="8"/>
  <c r="J105" i="8"/>
  <c r="H92" i="8"/>
  <c r="I92" i="8"/>
  <c r="J92" i="8"/>
  <c r="J32" i="8"/>
  <c r="H110" i="8"/>
  <c r="H104" i="8"/>
  <c r="H115" i="8"/>
  <c r="I109" i="8"/>
  <c r="I113" i="8"/>
  <c r="J108" i="8"/>
  <c r="J111" i="8"/>
  <c r="H93" i="8"/>
  <c r="I93" i="8"/>
  <c r="J93" i="8"/>
  <c r="I32" i="8"/>
  <c r="I98" i="8"/>
  <c r="H46" i="8"/>
  <c r="H52" i="8"/>
  <c r="H60" i="8"/>
  <c r="H68" i="8"/>
  <c r="H79" i="8"/>
  <c r="H84" i="8"/>
  <c r="I46" i="8"/>
  <c r="I52" i="8"/>
  <c r="I60" i="8"/>
  <c r="I68" i="8"/>
  <c r="I79" i="8"/>
  <c r="I84" i="8"/>
  <c r="J46" i="8"/>
  <c r="J52" i="8"/>
  <c r="J60" i="8"/>
  <c r="J68" i="8"/>
  <c r="J84" i="8"/>
  <c r="J65" i="8"/>
  <c r="J89" i="8"/>
  <c r="H47" i="8"/>
  <c r="H53" i="8"/>
  <c r="H61" i="8"/>
  <c r="H69" i="8"/>
  <c r="H80" i="8"/>
  <c r="H85" i="8"/>
  <c r="I47" i="8"/>
  <c r="I53" i="8"/>
  <c r="I61" i="8"/>
  <c r="I69" i="8"/>
  <c r="I80" i="8"/>
  <c r="I85" i="8"/>
  <c r="J47" i="8"/>
  <c r="J53" i="8"/>
  <c r="J61" i="8"/>
  <c r="J69" i="8"/>
  <c r="J80" i="8"/>
  <c r="J85" i="8"/>
  <c r="J78" i="8"/>
  <c r="J75" i="8"/>
  <c r="J86" i="8"/>
  <c r="I88" i="8"/>
  <c r="J64" i="8"/>
  <c r="J71" i="8"/>
  <c r="J33" i="8"/>
  <c r="H29" i="8"/>
  <c r="H54" i="8"/>
  <c r="H62" i="8"/>
  <c r="H78" i="8"/>
  <c r="H75" i="8"/>
  <c r="H86" i="8"/>
  <c r="I29" i="8"/>
  <c r="I54" i="8"/>
  <c r="I62" i="8"/>
  <c r="I78" i="8"/>
  <c r="I75" i="8"/>
  <c r="I86" i="8"/>
  <c r="J29" i="8"/>
  <c r="J54" i="8"/>
  <c r="J62" i="8"/>
  <c r="I77" i="8"/>
  <c r="J34" i="8"/>
  <c r="H30" i="8"/>
  <c r="H55" i="8"/>
  <c r="H63" i="8"/>
  <c r="H70" i="8"/>
  <c r="H76" i="8"/>
  <c r="H87" i="8"/>
  <c r="I30" i="8"/>
  <c r="I55" i="8"/>
  <c r="I63" i="8"/>
  <c r="I70" i="8"/>
  <c r="I76" i="8"/>
  <c r="I87" i="8"/>
  <c r="J30" i="8"/>
  <c r="J55" i="8"/>
  <c r="J63" i="8"/>
  <c r="J70" i="8"/>
  <c r="J76" i="8"/>
  <c r="J87" i="8"/>
  <c r="I89" i="8"/>
  <c r="J72" i="8"/>
  <c r="H34" i="8"/>
  <c r="H56" i="8"/>
  <c r="H64" i="8"/>
  <c r="H71" i="8"/>
  <c r="H77" i="8"/>
  <c r="H88" i="8"/>
  <c r="I34" i="8"/>
  <c r="I56" i="8"/>
  <c r="I64" i="8"/>
  <c r="I71" i="8"/>
  <c r="J56" i="8"/>
  <c r="H33" i="8"/>
  <c r="H57" i="8"/>
  <c r="H65" i="8"/>
  <c r="H72" i="8"/>
  <c r="H81" i="8"/>
  <c r="H89" i="8"/>
  <c r="I33" i="8"/>
  <c r="I57" i="8"/>
  <c r="I65" i="8"/>
  <c r="I72" i="8"/>
  <c r="H50" i="8"/>
  <c r="H58" i="8"/>
  <c r="H66" i="8"/>
  <c r="H73" i="8"/>
  <c r="H82" i="8"/>
  <c r="H90" i="8"/>
  <c r="I50" i="8"/>
  <c r="I58" i="8"/>
  <c r="I66" i="8"/>
  <c r="I73" i="8"/>
  <c r="I82" i="8"/>
  <c r="I90" i="8"/>
  <c r="J50" i="8"/>
  <c r="J58" i="8"/>
  <c r="J66" i="8"/>
  <c r="J73" i="8"/>
  <c r="J82" i="8"/>
  <c r="J90" i="8"/>
  <c r="J67" i="8"/>
  <c r="J74" i="8"/>
  <c r="J83" i="8"/>
  <c r="J91" i="8"/>
  <c r="J88" i="8"/>
  <c r="I81" i="8"/>
  <c r="J57" i="8"/>
  <c r="J81" i="8"/>
  <c r="H51" i="8"/>
  <c r="H67" i="8"/>
  <c r="H74" i="8"/>
  <c r="H83" i="8"/>
  <c r="H91" i="8"/>
  <c r="I51" i="8"/>
  <c r="I67" i="8"/>
  <c r="I74" i="8"/>
  <c r="I83" i="8"/>
  <c r="I91" i="8"/>
  <c r="J51" i="8"/>
  <c r="J79" i="8"/>
  <c r="J77" i="8"/>
  <c r="H682" i="5"/>
  <c r="J13" i="8"/>
  <c r="J18" i="8"/>
  <c r="J37" i="8"/>
  <c r="J45" i="8"/>
  <c r="I17" i="8"/>
  <c r="I36" i="8"/>
  <c r="I48" i="8"/>
  <c r="H23" i="8"/>
  <c r="H27" i="8"/>
  <c r="H41" i="8"/>
  <c r="I9" i="8"/>
  <c r="I11" i="8"/>
  <c r="J4" i="8"/>
  <c r="H8" i="8"/>
  <c r="H21" i="8"/>
  <c r="H727" i="5"/>
  <c r="J714" i="5"/>
  <c r="I24" i="8"/>
  <c r="H35" i="8"/>
  <c r="I7" i="8"/>
  <c r="J20" i="8"/>
  <c r="I727" i="5"/>
  <c r="J26" i="8"/>
  <c r="J39" i="8"/>
  <c r="I18" i="8"/>
  <c r="I45" i="8"/>
  <c r="H48" i="8"/>
  <c r="J8" i="8"/>
  <c r="H9" i="8"/>
  <c r="H11" i="8"/>
  <c r="I713" i="5"/>
  <c r="J49" i="8"/>
  <c r="J40" i="8"/>
  <c r="I25" i="8"/>
  <c r="I44" i="8"/>
  <c r="H28" i="8"/>
  <c r="I5" i="8"/>
  <c r="H10" i="8"/>
  <c r="J713" i="5"/>
  <c r="I15" i="8"/>
  <c r="H13" i="8"/>
  <c r="H37" i="8"/>
  <c r="I4" i="8"/>
  <c r="H3" i="8"/>
  <c r="H707" i="5"/>
  <c r="J35" i="8"/>
  <c r="J42" i="8"/>
  <c r="I19" i="8"/>
  <c r="I40" i="8"/>
  <c r="H14" i="8"/>
  <c r="H38" i="8"/>
  <c r="I20" i="8"/>
  <c r="J7" i="8"/>
  <c r="H5" i="8"/>
  <c r="J717" i="5"/>
  <c r="J14" i="8"/>
  <c r="J15" i="8"/>
  <c r="J19" i="8"/>
  <c r="J23" i="8"/>
  <c r="J16" i="8"/>
  <c r="J17" i="8"/>
  <c r="J36" i="8"/>
  <c r="J48" i="8"/>
  <c r="I23" i="8"/>
  <c r="I27" i="8"/>
  <c r="I41" i="8"/>
  <c r="H15" i="8"/>
  <c r="H26" i="8"/>
  <c r="H39" i="8"/>
  <c r="I8" i="8"/>
  <c r="I21" i="8"/>
  <c r="J3" i="8"/>
  <c r="J12" i="8"/>
  <c r="H4" i="8"/>
  <c r="I760" i="5"/>
  <c r="H714" i="5"/>
  <c r="J707" i="5"/>
  <c r="J28" i="8"/>
  <c r="J43" i="8"/>
  <c r="I16" i="8"/>
  <c r="I35" i="8"/>
  <c r="I42" i="8"/>
  <c r="H19" i="8"/>
  <c r="H49" i="8"/>
  <c r="H40" i="8"/>
  <c r="I6" i="8"/>
  <c r="I22" i="8"/>
  <c r="J5" i="8"/>
  <c r="I12" i="8"/>
  <c r="H20" i="8"/>
  <c r="J760" i="5"/>
  <c r="I714" i="5"/>
  <c r="J25" i="8"/>
  <c r="J38" i="8"/>
  <c r="J44" i="8"/>
  <c r="I28" i="8"/>
  <c r="I43" i="8"/>
  <c r="H16" i="8"/>
  <c r="H42" i="8"/>
  <c r="I10" i="8"/>
  <c r="H6" i="8"/>
  <c r="H22" i="8"/>
  <c r="H713" i="5"/>
  <c r="I13" i="8"/>
  <c r="I37" i="8"/>
  <c r="H17" i="8"/>
  <c r="H36" i="8"/>
  <c r="I3" i="8"/>
  <c r="J21" i="8"/>
  <c r="J727" i="5"/>
  <c r="I14" i="8"/>
  <c r="I38" i="8"/>
  <c r="H24" i="8"/>
  <c r="H43" i="8"/>
  <c r="J6" i="8"/>
  <c r="J22" i="8"/>
  <c r="H7" i="8"/>
  <c r="H717" i="5"/>
  <c r="J27" i="8"/>
  <c r="J41" i="8"/>
  <c r="I26" i="8"/>
  <c r="I39" i="8"/>
  <c r="H18" i="8"/>
  <c r="H45" i="8"/>
  <c r="J9" i="8"/>
  <c r="J11" i="8"/>
  <c r="H12" i="8"/>
  <c r="I717" i="5"/>
  <c r="I49" i="8"/>
  <c r="H25" i="8"/>
  <c r="H44" i="8"/>
  <c r="J10" i="8"/>
  <c r="H760" i="5"/>
  <c r="I707" i="5"/>
  <c r="J24" i="8"/>
  <c r="H700" i="5"/>
  <c r="J700" i="5"/>
  <c r="I700" i="5"/>
  <c r="H699" i="5"/>
  <c r="I699" i="5"/>
  <c r="J699" i="5"/>
  <c r="I679" i="5"/>
  <c r="J682" i="5"/>
  <c r="H718" i="5"/>
  <c r="I718" i="5"/>
  <c r="J718" i="5"/>
  <c r="H715" i="5"/>
  <c r="I715" i="5"/>
  <c r="J715" i="5"/>
  <c r="H693" i="5"/>
  <c r="H41" i="2"/>
  <c r="I41" i="2"/>
  <c r="J41" i="2"/>
  <c r="H39" i="2"/>
  <c r="H40" i="2"/>
  <c r="I39" i="2"/>
  <c r="I40" i="2"/>
  <c r="J39" i="2"/>
  <c r="J40" i="2"/>
  <c r="I695" i="5"/>
  <c r="J695" i="5"/>
  <c r="H695" i="5"/>
  <c r="J696" i="5"/>
  <c r="I696" i="5"/>
  <c r="H696" i="5"/>
  <c r="I682" i="5"/>
  <c r="J697" i="5"/>
  <c r="I697" i="5"/>
  <c r="H697" i="5"/>
  <c r="I694" i="5"/>
  <c r="H694" i="5"/>
  <c r="J692" i="5"/>
  <c r="I692" i="5"/>
  <c r="H692" i="5"/>
  <c r="J693" i="5"/>
  <c r="I693" i="5"/>
  <c r="J694" i="5"/>
  <c r="I680" i="5"/>
  <c r="J679" i="5"/>
  <c r="H680" i="5"/>
  <c r="H679" i="5"/>
  <c r="H681" i="5"/>
  <c r="I681" i="5"/>
  <c r="J681" i="5"/>
  <c r="H676" i="5"/>
  <c r="I676" i="5"/>
  <c r="J676" i="5"/>
  <c r="H675" i="5"/>
  <c r="I675" i="5"/>
  <c r="J675" i="5"/>
  <c r="H671" i="5"/>
  <c r="I671" i="5"/>
  <c r="J671" i="5"/>
  <c r="H674" i="5"/>
  <c r="I674" i="5"/>
  <c r="J674" i="5"/>
  <c r="H670" i="5"/>
  <c r="I670" i="5"/>
  <c r="J670" i="5"/>
  <c r="H673" i="5"/>
  <c r="I673" i="5"/>
  <c r="J673" i="5"/>
  <c r="H766" i="5"/>
  <c r="I766" i="5"/>
  <c r="J766" i="5"/>
  <c r="H667" i="5"/>
  <c r="I667" i="5"/>
  <c r="J667" i="5"/>
  <c r="H666" i="5"/>
  <c r="I666" i="5"/>
  <c r="J666" i="5"/>
  <c r="H663" i="5"/>
  <c r="H664" i="5"/>
  <c r="H668" i="5"/>
  <c r="I663" i="5"/>
  <c r="I664" i="5"/>
  <c r="I668" i="5"/>
  <c r="J663" i="5"/>
  <c r="J664" i="5"/>
  <c r="J668" i="5"/>
  <c r="H669" i="5"/>
  <c r="I669" i="5"/>
  <c r="J669" i="5"/>
  <c r="H661" i="5"/>
  <c r="I661" i="5"/>
  <c r="J661" i="5"/>
  <c r="H660" i="5"/>
  <c r="I660" i="5"/>
  <c r="J660" i="5"/>
  <c r="H650" i="5"/>
  <c r="I650" i="5"/>
  <c r="J650" i="5"/>
  <c r="H656" i="5"/>
  <c r="I656" i="5"/>
  <c r="J656" i="5"/>
  <c r="H658" i="5"/>
  <c r="I658" i="5"/>
  <c r="J658" i="5"/>
  <c r="H657" i="5"/>
  <c r="I657" i="5"/>
  <c r="J657" i="5"/>
  <c r="H655" i="5"/>
  <c r="I655" i="5"/>
  <c r="J655" i="5"/>
  <c r="H651" i="5"/>
  <c r="I651" i="5"/>
  <c r="J651" i="5"/>
  <c r="H38" i="2"/>
  <c r="H543" i="5"/>
  <c r="I543" i="5"/>
  <c r="J543" i="5"/>
  <c r="H757" i="5"/>
  <c r="I757" i="5"/>
  <c r="J757" i="5"/>
  <c r="H29" i="2"/>
  <c r="H30" i="2"/>
  <c r="H31" i="2"/>
  <c r="H32" i="2"/>
  <c r="H33" i="2"/>
  <c r="H34" i="2"/>
  <c r="H28" i="2"/>
  <c r="I29" i="2"/>
  <c r="I30" i="2"/>
  <c r="I31" i="2"/>
  <c r="I32" i="2"/>
  <c r="I33" i="2"/>
  <c r="I34" i="2"/>
  <c r="I28" i="2"/>
  <c r="J29" i="2"/>
  <c r="J30" i="2"/>
  <c r="J31" i="2"/>
  <c r="J32" i="2"/>
  <c r="J33" i="2"/>
  <c r="J34" i="2"/>
  <c r="J28" i="2"/>
  <c r="H468" i="5"/>
  <c r="H469" i="5"/>
  <c r="H466" i="5"/>
  <c r="H471" i="5"/>
  <c r="I468" i="5"/>
  <c r="I469" i="5"/>
  <c r="I466" i="5"/>
  <c r="I471" i="5"/>
  <c r="J468" i="5"/>
  <c r="J469" i="5"/>
  <c r="J466" i="5"/>
  <c r="J471" i="5"/>
  <c r="H456" i="5"/>
  <c r="H458" i="5"/>
  <c r="H730" i="5"/>
  <c r="H756" i="5"/>
  <c r="H736" i="5"/>
  <c r="H463" i="5"/>
  <c r="H464" i="5"/>
  <c r="H460" i="5"/>
  <c r="H465" i="5"/>
  <c r="H467" i="5"/>
  <c r="I456" i="5"/>
  <c r="I458" i="5"/>
  <c r="I730" i="5"/>
  <c r="I756" i="5"/>
  <c r="I736" i="5"/>
  <c r="I463" i="5"/>
  <c r="I464" i="5"/>
  <c r="I460" i="5"/>
  <c r="I465" i="5"/>
  <c r="I467" i="5"/>
  <c r="J456" i="5"/>
  <c r="J458" i="5"/>
  <c r="J730" i="5"/>
  <c r="J756" i="5"/>
  <c r="J736" i="5"/>
  <c r="J463" i="5"/>
  <c r="J464" i="5"/>
  <c r="J460" i="5"/>
  <c r="J465" i="5"/>
  <c r="J467" i="5"/>
  <c r="H448" i="5"/>
  <c r="H444" i="5"/>
  <c r="H445" i="5"/>
  <c r="H447" i="5"/>
  <c r="H446" i="5"/>
  <c r="H457" i="5"/>
  <c r="I448" i="5"/>
  <c r="I444" i="5"/>
  <c r="I445" i="5"/>
  <c r="I447" i="5"/>
  <c r="I446" i="5"/>
  <c r="I457" i="5"/>
  <c r="J448" i="5"/>
  <c r="J444" i="5"/>
  <c r="J445" i="5"/>
  <c r="J447" i="5"/>
  <c r="J446" i="5"/>
  <c r="J457" i="5"/>
  <c r="H431" i="5"/>
  <c r="H434" i="5"/>
  <c r="H432" i="5"/>
  <c r="H436" i="5"/>
  <c r="H435" i="5"/>
  <c r="H439" i="5"/>
  <c r="H437" i="5"/>
  <c r="H438" i="5"/>
  <c r="I431" i="5"/>
  <c r="I434" i="5"/>
  <c r="I432" i="5"/>
  <c r="I436" i="5"/>
  <c r="I435" i="5"/>
  <c r="I439" i="5"/>
  <c r="I437" i="5"/>
  <c r="I438" i="5"/>
  <c r="J431" i="5"/>
  <c r="J434" i="5"/>
  <c r="J432" i="5"/>
  <c r="J436" i="5"/>
  <c r="J435" i="5"/>
  <c r="J439" i="5"/>
  <c r="J437" i="5"/>
  <c r="J438" i="5"/>
  <c r="H426" i="5"/>
  <c r="H425" i="5"/>
  <c r="H427" i="5"/>
  <c r="I426" i="5"/>
  <c r="I425" i="5"/>
  <c r="I427" i="5"/>
  <c r="J426" i="5"/>
  <c r="J425" i="5"/>
  <c r="J427" i="5"/>
  <c r="H423" i="5"/>
  <c r="H424" i="5"/>
  <c r="I423" i="5"/>
  <c r="I424" i="5"/>
  <c r="J423" i="5"/>
  <c r="J424" i="5"/>
  <c r="H422" i="5"/>
  <c r="I422" i="5"/>
  <c r="J422" i="5"/>
  <c r="H395" i="5"/>
  <c r="I395" i="5"/>
  <c r="J395" i="5"/>
  <c r="H396" i="5"/>
  <c r="I396" i="5"/>
  <c r="J396" i="5"/>
  <c r="H392" i="5"/>
  <c r="I392" i="5"/>
  <c r="J392" i="5"/>
  <c r="H390" i="5"/>
  <c r="I390" i="5"/>
  <c r="J390" i="5"/>
  <c r="H389" i="5"/>
  <c r="I389" i="5"/>
  <c r="J389" i="5"/>
  <c r="H387" i="5"/>
  <c r="H386" i="5"/>
  <c r="I387" i="5"/>
  <c r="I386" i="5"/>
  <c r="J387" i="5"/>
  <c r="J386" i="5"/>
  <c r="H383" i="5"/>
  <c r="H382" i="5"/>
  <c r="I383" i="5"/>
  <c r="I382" i="5"/>
  <c r="J383" i="5"/>
  <c r="J382" i="5"/>
  <c r="H384" i="5"/>
  <c r="I384" i="5"/>
  <c r="J384" i="5"/>
  <c r="H381" i="5"/>
  <c r="I381" i="5"/>
  <c r="J381" i="5"/>
  <c r="H722" i="5"/>
  <c r="H378" i="5"/>
  <c r="I722" i="5"/>
  <c r="I378" i="5"/>
  <c r="J722" i="5"/>
  <c r="J378" i="5"/>
  <c r="H380" i="5"/>
  <c r="I380" i="5"/>
  <c r="J380" i="5"/>
  <c r="H377" i="5"/>
  <c r="I377" i="5"/>
  <c r="J377" i="5"/>
  <c r="H376" i="5"/>
  <c r="I376" i="5"/>
  <c r="J376" i="5"/>
  <c r="H375" i="5"/>
  <c r="I375" i="5"/>
  <c r="J375" i="5"/>
  <c r="H374" i="5"/>
  <c r="I374" i="5"/>
  <c r="J374" i="5"/>
  <c r="H373" i="5"/>
  <c r="I373" i="5"/>
  <c r="J373" i="5"/>
  <c r="H709" i="5"/>
  <c r="I709" i="5"/>
  <c r="J709" i="5"/>
  <c r="H371" i="5"/>
  <c r="I371" i="5"/>
  <c r="J371" i="5"/>
  <c r="H368" i="5"/>
  <c r="I368" i="5"/>
  <c r="J368" i="5"/>
  <c r="H367" i="5"/>
  <c r="I367" i="5"/>
  <c r="J367" i="5"/>
  <c r="H364" i="5"/>
  <c r="I364" i="5"/>
  <c r="J364" i="5"/>
  <c r="H365" i="5"/>
  <c r="I365" i="5"/>
  <c r="J365" i="5"/>
  <c r="H369" i="5"/>
  <c r="I369" i="5"/>
  <c r="J369" i="5"/>
  <c r="H370" i="5"/>
  <c r="I370" i="5"/>
  <c r="J370" i="5"/>
  <c r="H362" i="5"/>
  <c r="I362" i="5"/>
  <c r="J362" i="5"/>
  <c r="H359" i="5"/>
  <c r="H360" i="5"/>
  <c r="I359" i="5"/>
  <c r="I360" i="5"/>
  <c r="J359" i="5"/>
  <c r="J360" i="5"/>
  <c r="H356" i="5"/>
  <c r="I356" i="5"/>
  <c r="J356" i="5"/>
  <c r="H357" i="5"/>
  <c r="H358" i="5"/>
  <c r="I357" i="5"/>
  <c r="I358" i="5"/>
  <c r="J357" i="5"/>
  <c r="J358" i="5"/>
  <c r="H353" i="5"/>
  <c r="H354" i="5"/>
  <c r="I353" i="5"/>
  <c r="I354" i="5"/>
  <c r="J353" i="5"/>
  <c r="J354" i="5"/>
  <c r="H350" i="5"/>
  <c r="H349" i="5"/>
  <c r="H355" i="5"/>
  <c r="I350" i="5"/>
  <c r="I349" i="5"/>
  <c r="I355" i="5"/>
  <c r="J350" i="5"/>
  <c r="J349" i="5"/>
  <c r="J355" i="5"/>
  <c r="H345" i="5"/>
  <c r="I345" i="5"/>
  <c r="J345" i="5"/>
  <c r="H529" i="5"/>
  <c r="I529" i="5"/>
  <c r="J529" i="5"/>
  <c r="H346" i="5"/>
  <c r="I346" i="5"/>
  <c r="J346" i="5"/>
  <c r="H347" i="5"/>
  <c r="I347" i="5"/>
  <c r="J347" i="5"/>
  <c r="H343" i="5"/>
  <c r="I343" i="5"/>
  <c r="J343" i="5"/>
  <c r="H342" i="5"/>
  <c r="I342" i="5"/>
  <c r="J342" i="5"/>
  <c r="H341" i="5"/>
  <c r="I341" i="5"/>
  <c r="J341" i="5"/>
  <c r="H338" i="5"/>
  <c r="I338" i="5"/>
  <c r="J338" i="5"/>
  <c r="H337" i="5"/>
  <c r="H340" i="5"/>
  <c r="I337" i="5"/>
  <c r="I340" i="5"/>
  <c r="J337" i="5"/>
  <c r="J340" i="5"/>
  <c r="H336" i="5"/>
  <c r="I336" i="5"/>
  <c r="J336" i="5"/>
  <c r="H339" i="5"/>
  <c r="I339" i="5"/>
  <c r="J339" i="5"/>
  <c r="H324" i="5"/>
  <c r="I324" i="5"/>
  <c r="J324" i="5"/>
  <c r="H462" i="5"/>
  <c r="H320" i="5"/>
  <c r="H461" i="5"/>
  <c r="H323" i="5"/>
  <c r="I462" i="5"/>
  <c r="I320" i="5"/>
  <c r="I461" i="5"/>
  <c r="I323" i="5"/>
  <c r="J462" i="5"/>
  <c r="J320" i="5"/>
  <c r="J461" i="5"/>
  <c r="J323" i="5"/>
  <c r="H319" i="5"/>
  <c r="I319" i="5"/>
  <c r="J319" i="5"/>
  <c r="H318" i="5"/>
  <c r="I318" i="5"/>
  <c r="J318" i="5"/>
  <c r="H317" i="5"/>
  <c r="I317" i="5"/>
  <c r="J317" i="5"/>
  <c r="H316" i="5"/>
  <c r="I316" i="5"/>
  <c r="J316" i="5"/>
  <c r="H313" i="5"/>
  <c r="I313" i="5"/>
  <c r="J313" i="5"/>
  <c r="H307" i="5"/>
  <c r="H310" i="5"/>
  <c r="I307" i="5"/>
  <c r="I310" i="5"/>
  <c r="J307" i="5"/>
  <c r="J310" i="5"/>
  <c r="H308" i="5"/>
  <c r="H309" i="5"/>
  <c r="I308" i="5"/>
  <c r="I309" i="5"/>
  <c r="J308" i="5"/>
  <c r="J309" i="5"/>
  <c r="H305" i="5"/>
  <c r="H306" i="5"/>
  <c r="I305" i="5"/>
  <c r="I306" i="5"/>
  <c r="J305" i="5"/>
  <c r="J306" i="5"/>
  <c r="J295" i="5"/>
  <c r="J296" i="5"/>
  <c r="J297" i="5"/>
  <c r="J298" i="5"/>
  <c r="J299" i="5"/>
  <c r="J300" i="5"/>
  <c r="J301" i="5"/>
  <c r="J302" i="5"/>
  <c r="J303" i="5"/>
  <c r="I295" i="5"/>
  <c r="I296" i="5"/>
  <c r="I297" i="5"/>
  <c r="I298" i="5"/>
  <c r="I299" i="5"/>
  <c r="I300" i="5"/>
  <c r="I301" i="5"/>
  <c r="I302" i="5"/>
  <c r="I303" i="5"/>
  <c r="H295" i="5"/>
  <c r="H296" i="5"/>
  <c r="H297" i="5"/>
  <c r="H298" i="5"/>
  <c r="H299" i="5"/>
  <c r="H300" i="5"/>
  <c r="H301" i="5"/>
  <c r="H302" i="5"/>
  <c r="H303" i="5"/>
  <c r="H459" i="5"/>
  <c r="I459" i="5"/>
  <c r="J459" i="5"/>
  <c r="H291" i="5"/>
  <c r="I291" i="5"/>
  <c r="J291" i="5"/>
  <c r="H290" i="5"/>
  <c r="I290" i="5"/>
  <c r="J290" i="5"/>
  <c r="H289" i="5"/>
  <c r="I289" i="5"/>
  <c r="J289" i="5"/>
  <c r="H287" i="5"/>
  <c r="I287" i="5"/>
  <c r="J287" i="5"/>
  <c r="H372" i="5"/>
  <c r="I372" i="5"/>
  <c r="J372" i="5"/>
  <c r="H288" i="5"/>
  <c r="I288" i="5"/>
  <c r="J288" i="5"/>
  <c r="H285" i="5"/>
  <c r="I285" i="5"/>
  <c r="J285" i="5"/>
  <c r="H284" i="5"/>
  <c r="I284" i="5"/>
  <c r="J284" i="5"/>
  <c r="H282" i="5"/>
  <c r="I282" i="5"/>
  <c r="J282" i="5"/>
  <c r="H281" i="5"/>
  <c r="I281" i="5"/>
  <c r="J281" i="5"/>
  <c r="H344" i="5"/>
  <c r="I344" i="5"/>
  <c r="J344" i="5"/>
  <c r="H279" i="5"/>
  <c r="H280" i="5"/>
  <c r="I279" i="5"/>
  <c r="I280" i="5"/>
  <c r="J279" i="5"/>
  <c r="J280" i="5"/>
  <c r="H763" i="5"/>
  <c r="I763" i="5"/>
  <c r="J763" i="5"/>
  <c r="H273" i="5"/>
  <c r="H274" i="5"/>
  <c r="H483" i="5"/>
  <c r="H665" i="5"/>
  <c r="I273" i="5"/>
  <c r="I274" i="5"/>
  <c r="I483" i="5"/>
  <c r="I665" i="5"/>
  <c r="J273" i="5"/>
  <c r="J274" i="5"/>
  <c r="J483" i="5"/>
  <c r="J665" i="5"/>
  <c r="H271" i="5"/>
  <c r="H272" i="5"/>
  <c r="I271" i="5"/>
  <c r="I272" i="5"/>
  <c r="J271" i="5"/>
  <c r="J272" i="5"/>
  <c r="H107" i="5"/>
  <c r="I107" i="5"/>
  <c r="J107" i="5"/>
  <c r="H268" i="5"/>
  <c r="H109" i="5"/>
  <c r="I268" i="5"/>
  <c r="I109" i="5"/>
  <c r="J268" i="5"/>
  <c r="J109" i="5"/>
  <c r="H482" i="5"/>
  <c r="H269" i="5"/>
  <c r="I482" i="5"/>
  <c r="I269" i="5"/>
  <c r="J482" i="5"/>
  <c r="J269" i="5"/>
  <c r="H266" i="5"/>
  <c r="I266" i="5"/>
  <c r="J266" i="5"/>
  <c r="H264" i="5"/>
  <c r="I264" i="5"/>
  <c r="J264" i="5"/>
  <c r="H276" i="5"/>
  <c r="H322" i="5"/>
  <c r="H263" i="5"/>
  <c r="I276" i="5"/>
  <c r="I322" i="5"/>
  <c r="I263" i="5"/>
  <c r="J276" i="5"/>
  <c r="J322" i="5"/>
  <c r="J263" i="5"/>
  <c r="H260" i="5"/>
  <c r="I260" i="5"/>
  <c r="J260" i="5"/>
  <c r="H259" i="5"/>
  <c r="I259" i="5"/>
  <c r="J259" i="5"/>
  <c r="H257" i="5"/>
  <c r="H258" i="5"/>
  <c r="H256" i="5"/>
  <c r="I257" i="5"/>
  <c r="I258" i="5"/>
  <c r="I256" i="5"/>
  <c r="J257" i="5"/>
  <c r="J258" i="5"/>
  <c r="J256" i="5"/>
  <c r="H253" i="5"/>
  <c r="H321" i="5"/>
  <c r="I253" i="5"/>
  <c r="I321" i="5"/>
  <c r="J253" i="5"/>
  <c r="J321" i="5"/>
  <c r="H249" i="5"/>
  <c r="H250" i="5"/>
  <c r="I249" i="5"/>
  <c r="I250" i="5"/>
  <c r="J249" i="5"/>
  <c r="J250" i="5"/>
  <c r="H252" i="5"/>
  <c r="I252" i="5"/>
  <c r="J252" i="5"/>
  <c r="H245" i="5"/>
  <c r="I245" i="5"/>
  <c r="J245" i="5"/>
  <c r="H294" i="5"/>
  <c r="I294" i="5"/>
  <c r="J294" i="5"/>
  <c r="H238" i="5"/>
  <c r="I238" i="5"/>
  <c r="J238" i="5"/>
  <c r="H237" i="5"/>
  <c r="I237" i="5"/>
  <c r="J237" i="5"/>
  <c r="H204" i="5"/>
  <c r="H293" i="5"/>
  <c r="I204" i="5"/>
  <c r="I293" i="5"/>
  <c r="J204" i="5"/>
  <c r="J293" i="5"/>
  <c r="H203" i="5"/>
  <c r="I203" i="5"/>
  <c r="J203" i="5"/>
  <c r="H202" i="5"/>
  <c r="I202" i="5"/>
  <c r="J202" i="5"/>
  <c r="H201" i="5"/>
  <c r="I201" i="5"/>
  <c r="J201" i="5"/>
  <c r="H255" i="5"/>
  <c r="I255" i="5"/>
  <c r="J255" i="5"/>
  <c r="H241" i="5"/>
  <c r="H240" i="5"/>
  <c r="H200" i="5"/>
  <c r="I241" i="5"/>
  <c r="I240" i="5"/>
  <c r="I200" i="5"/>
  <c r="J241" i="5"/>
  <c r="J240" i="5"/>
  <c r="J200" i="5"/>
  <c r="H242" i="5"/>
  <c r="H197" i="5"/>
  <c r="I242" i="5"/>
  <c r="I197" i="5"/>
  <c r="J242" i="5"/>
  <c r="J197" i="5"/>
  <c r="H198" i="5"/>
  <c r="H199" i="5"/>
  <c r="I198" i="5"/>
  <c r="I199" i="5"/>
  <c r="J198" i="5"/>
  <c r="J199" i="5"/>
  <c r="H196" i="5"/>
  <c r="H192" i="5"/>
  <c r="H191" i="5"/>
  <c r="H195" i="5"/>
  <c r="H193" i="5"/>
  <c r="I196" i="5"/>
  <c r="I192" i="5"/>
  <c r="I191" i="5"/>
  <c r="I195" i="5"/>
  <c r="I193" i="5"/>
  <c r="J196" i="5"/>
  <c r="J192" i="5"/>
  <c r="J191" i="5"/>
  <c r="J195" i="5"/>
  <c r="J193" i="5"/>
  <c r="H194" i="5"/>
  <c r="I194" i="5"/>
  <c r="J194" i="5"/>
  <c r="H190" i="5"/>
  <c r="I190" i="5"/>
  <c r="J190" i="5"/>
  <c r="H187" i="5"/>
  <c r="H189" i="5"/>
  <c r="H188" i="5"/>
  <c r="I187" i="5"/>
  <c r="I189" i="5"/>
  <c r="I188" i="5"/>
  <c r="J187" i="5"/>
  <c r="J189" i="5"/>
  <c r="J188" i="5"/>
  <c r="I37" i="2" l="1"/>
  <c r="J35" i="2"/>
  <c r="I38" i="2"/>
  <c r="H35" i="2"/>
  <c r="J38" i="2"/>
  <c r="J37" i="2"/>
  <c r="I36" i="2"/>
  <c r="J36" i="2"/>
  <c r="I35" i="2"/>
  <c r="H37" i="2"/>
  <c r="H36" i="2"/>
  <c r="H186" i="5"/>
  <c r="I186" i="5"/>
  <c r="J186" i="5"/>
  <c r="H26" i="2"/>
  <c r="H27" i="2"/>
  <c r="I26" i="2"/>
  <c r="I27" i="2"/>
  <c r="J26" i="2"/>
  <c r="J27" i="2"/>
  <c r="H179" i="5"/>
  <c r="H185" i="5"/>
  <c r="I179" i="5"/>
  <c r="I185" i="5"/>
  <c r="J179" i="5"/>
  <c r="J185" i="5"/>
  <c r="H22" i="2"/>
  <c r="H23" i="2"/>
  <c r="H24" i="2"/>
  <c r="H25" i="2"/>
  <c r="I22" i="2"/>
  <c r="I23" i="2"/>
  <c r="I24" i="2"/>
  <c r="I25" i="2"/>
  <c r="J22" i="2"/>
  <c r="J23" i="2"/>
  <c r="J24" i="2"/>
  <c r="J25" i="2"/>
  <c r="H184" i="5"/>
  <c r="I184" i="5"/>
  <c r="J184" i="5"/>
  <c r="H180" i="5"/>
  <c r="I180" i="5"/>
  <c r="J180" i="5"/>
  <c r="H20" i="2"/>
  <c r="H21" i="2"/>
  <c r="I20" i="2"/>
  <c r="I21" i="2"/>
  <c r="J20" i="2"/>
  <c r="J21" i="2"/>
  <c r="H286" i="5"/>
  <c r="H182" i="5"/>
  <c r="I286" i="5"/>
  <c r="I182" i="5"/>
  <c r="J286" i="5"/>
  <c r="J182" i="5"/>
  <c r="H178" i="5"/>
  <c r="I178" i="5"/>
  <c r="J178" i="5"/>
  <c r="H177" i="5"/>
  <c r="I177" i="5"/>
  <c r="J177" i="5"/>
  <c r="H176" i="5"/>
  <c r="I176" i="5"/>
  <c r="J176" i="5"/>
  <c r="H19" i="2"/>
  <c r="I19" i="2"/>
  <c r="J19" i="2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H18" i="2" l="1"/>
  <c r="I18" i="2"/>
  <c r="J18" i="2"/>
  <c r="H173" i="5"/>
  <c r="H174" i="5"/>
  <c r="H175" i="5"/>
  <c r="I173" i="5"/>
  <c r="I174" i="5"/>
  <c r="I175" i="5"/>
  <c r="J173" i="5"/>
  <c r="J174" i="5"/>
  <c r="J175" i="5"/>
  <c r="H171" i="5"/>
  <c r="H172" i="5"/>
  <c r="I171" i="5"/>
  <c r="I172" i="5"/>
  <c r="J171" i="5"/>
  <c r="J172" i="5"/>
  <c r="C4" i="7"/>
  <c r="D4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H170" i="5" l="1"/>
  <c r="H168" i="5"/>
  <c r="I168" i="5"/>
  <c r="J168" i="5"/>
  <c r="H166" i="5"/>
  <c r="H167" i="5"/>
  <c r="I170" i="5"/>
  <c r="I166" i="5"/>
  <c r="I167" i="5"/>
  <c r="J170" i="5"/>
  <c r="J166" i="5"/>
  <c r="J167" i="5"/>
  <c r="H169" i="5"/>
  <c r="I169" i="5"/>
  <c r="J169" i="5"/>
  <c r="H165" i="5"/>
  <c r="I165" i="5"/>
  <c r="J165" i="5"/>
  <c r="H283" i="5"/>
  <c r="I283" i="5"/>
  <c r="J283" i="5"/>
  <c r="H162" i="5"/>
  <c r="I162" i="5"/>
  <c r="J162" i="5"/>
  <c r="H157" i="5"/>
  <c r="I157" i="5"/>
  <c r="J157" i="5"/>
  <c r="H158" i="5" l="1"/>
  <c r="I158" i="5"/>
  <c r="J158" i="5"/>
  <c r="H17" i="2"/>
  <c r="I17" i="2"/>
  <c r="J17" i="2"/>
  <c r="H160" i="5"/>
  <c r="I160" i="5"/>
  <c r="J160" i="5"/>
  <c r="H16" i="2"/>
  <c r="I16" i="2"/>
  <c r="J16" i="2"/>
  <c r="H239" i="5"/>
  <c r="H254" i="5"/>
  <c r="I239" i="5"/>
  <c r="I254" i="5"/>
  <c r="J239" i="5"/>
  <c r="J254" i="5"/>
  <c r="H152" i="5"/>
  <c r="I152" i="5"/>
  <c r="J152" i="5"/>
  <c r="H15" i="2"/>
  <c r="I15" i="2"/>
  <c r="J15" i="2"/>
  <c r="H13" i="2"/>
  <c r="H14" i="2"/>
  <c r="I13" i="2"/>
  <c r="I14" i="2"/>
  <c r="J13" i="2"/>
  <c r="J14" i="2"/>
  <c r="H149" i="5"/>
  <c r="H150" i="5"/>
  <c r="H151" i="5"/>
  <c r="I149" i="5"/>
  <c r="I150" i="5"/>
  <c r="I151" i="5"/>
  <c r="J149" i="5"/>
  <c r="J150" i="5"/>
  <c r="J151" i="5"/>
  <c r="H10" i="2" l="1"/>
  <c r="I10" i="2"/>
  <c r="J10" i="2"/>
  <c r="H144" i="5"/>
  <c r="I144" i="5"/>
  <c r="J144" i="5"/>
  <c r="H11" i="2"/>
  <c r="H12" i="2"/>
  <c r="I11" i="2"/>
  <c r="I12" i="2"/>
  <c r="J11" i="2"/>
  <c r="J12" i="2"/>
  <c r="H143" i="5"/>
  <c r="I143" i="5"/>
  <c r="J143" i="5"/>
  <c r="H145" i="5"/>
  <c r="H147" i="5"/>
  <c r="H146" i="5"/>
  <c r="H148" i="5"/>
  <c r="I145" i="5"/>
  <c r="I147" i="5"/>
  <c r="I146" i="5"/>
  <c r="I148" i="5"/>
  <c r="J145" i="5"/>
  <c r="J147" i="5"/>
  <c r="J146" i="5"/>
  <c r="J148" i="5"/>
  <c r="H139" i="5"/>
  <c r="I139" i="5"/>
  <c r="J139" i="5"/>
  <c r="H205" i="5"/>
  <c r="I205" i="5"/>
  <c r="J205" i="5"/>
  <c r="H141" i="5"/>
  <c r="H140" i="5"/>
  <c r="I141" i="5"/>
  <c r="I140" i="5"/>
  <c r="J141" i="5"/>
  <c r="J140" i="5"/>
  <c r="H135" i="5"/>
  <c r="I135" i="5"/>
  <c r="J135" i="5"/>
  <c r="H133" i="5"/>
  <c r="I133" i="5"/>
  <c r="J133" i="5"/>
  <c r="H134" i="5"/>
  <c r="H163" i="5"/>
  <c r="I134" i="5"/>
  <c r="I163" i="5"/>
  <c r="J134" i="5"/>
  <c r="J163" i="5"/>
  <c r="H59" i="5"/>
  <c r="I59" i="5"/>
  <c r="J59" i="5"/>
  <c r="H95" i="5"/>
  <c r="H99" i="5"/>
  <c r="H100" i="5"/>
  <c r="I95" i="5"/>
  <c r="I99" i="5"/>
  <c r="I100" i="5"/>
  <c r="J95" i="5"/>
  <c r="J99" i="5"/>
  <c r="J100" i="5"/>
  <c r="I4" i="2" l="1"/>
  <c r="I5" i="2"/>
  <c r="I6" i="2"/>
  <c r="I7" i="2"/>
  <c r="I8" i="2"/>
  <c r="I9" i="2"/>
  <c r="I3" i="2"/>
  <c r="J9" i="2"/>
  <c r="J8" i="2"/>
  <c r="J7" i="2"/>
  <c r="J6" i="2"/>
  <c r="J5" i="2"/>
  <c r="J4" i="2"/>
  <c r="J3" i="2"/>
  <c r="H3" i="2"/>
  <c r="H4" i="2"/>
  <c r="H5" i="2"/>
  <c r="H6" i="2"/>
  <c r="H7" i="2"/>
  <c r="H8" i="2"/>
  <c r="H9" i="2"/>
  <c r="J5" i="5"/>
  <c r="J3" i="5"/>
  <c r="J4" i="5"/>
  <c r="J7" i="5"/>
  <c r="J21" i="5"/>
  <c r="J50" i="5"/>
  <c r="J108" i="5"/>
  <c r="J110" i="5"/>
  <c r="J116" i="5"/>
  <c r="J113" i="5"/>
  <c r="J114" i="5"/>
  <c r="J115" i="5"/>
  <c r="J117" i="5"/>
  <c r="J120" i="5"/>
  <c r="J119" i="5"/>
  <c r="J118" i="5"/>
  <c r="J128" i="5"/>
  <c r="J126" i="5"/>
  <c r="J127" i="5"/>
  <c r="J131" i="5"/>
  <c r="J130" i="5"/>
  <c r="H130" i="5" l="1"/>
  <c r="I130" i="5"/>
  <c r="H131" i="5"/>
  <c r="I131" i="5"/>
  <c r="H126" i="5"/>
  <c r="H127" i="5"/>
  <c r="I126" i="5"/>
  <c r="I127" i="5"/>
  <c r="H120" i="5"/>
  <c r="H119" i="5"/>
  <c r="H118" i="5"/>
  <c r="I120" i="5"/>
  <c r="I119" i="5"/>
  <c r="I118" i="5"/>
  <c r="H128" i="5"/>
  <c r="I128" i="5"/>
  <c r="H117" i="5"/>
  <c r="I117" i="5"/>
  <c r="H115" i="5" l="1"/>
  <c r="I115" i="5"/>
  <c r="I116" i="5"/>
  <c r="I113" i="5"/>
  <c r="I114" i="5"/>
  <c r="H116" i="5"/>
  <c r="H113" i="5"/>
  <c r="H114" i="5"/>
  <c r="E15" i="7" l="1"/>
  <c r="E13" i="7"/>
  <c r="E14" i="7"/>
  <c r="E24" i="7"/>
  <c r="E25" i="7"/>
  <c r="E7" i="7" l="1"/>
  <c r="E26" i="7"/>
  <c r="E11" i="7"/>
  <c r="E19" i="7"/>
  <c r="E31" i="7"/>
  <c r="E27" i="7"/>
  <c r="E23" i="7"/>
  <c r="E20" i="7"/>
  <c r="E12" i="7"/>
  <c r="E34" i="7"/>
  <c r="E30" i="7"/>
  <c r="E18" i="7"/>
  <c r="E33" i="7"/>
  <c r="E9" i="7"/>
  <c r="E10" i="7"/>
  <c r="E22" i="7"/>
  <c r="E29" i="7"/>
  <c r="E17" i="7"/>
  <c r="E32" i="7"/>
  <c r="E28" i="7"/>
  <c r="E21" i="7"/>
  <c r="E16" i="7"/>
  <c r="E8" i="7"/>
  <c r="H110" i="5"/>
  <c r="I110" i="5"/>
  <c r="H108" i="5" l="1"/>
  <c r="I108" i="5"/>
  <c r="I5" i="5" l="1"/>
  <c r="I3" i="5"/>
  <c r="I4" i="5"/>
  <c r="I7" i="5"/>
  <c r="I21" i="5"/>
  <c r="I50" i="5"/>
  <c r="H5" i="5"/>
  <c r="H3" i="5"/>
  <c r="H4" i="5"/>
  <c r="H7" i="5"/>
  <c r="H21" i="5"/>
  <c r="H50" i="5"/>
</calcChain>
</file>

<file path=xl/sharedStrings.xml><?xml version="1.0" encoding="utf-8"?>
<sst xmlns="http://schemas.openxmlformats.org/spreadsheetml/2006/main" count="6129" uniqueCount="1353">
  <si>
    <t>Suivi entrée matériel</t>
  </si>
  <si>
    <t>Date d entree</t>
  </si>
  <si>
    <t>Designation de l article</t>
  </si>
  <si>
    <t>Qtté</t>
  </si>
  <si>
    <t>Unité</t>
  </si>
  <si>
    <t>CABINET_P</t>
  </si>
  <si>
    <t>Serial Number</t>
  </si>
  <si>
    <t>Utilisateur prevu</t>
  </si>
  <si>
    <t>Equipe</t>
  </si>
  <si>
    <t>Localisation</t>
  </si>
  <si>
    <t>CABINET</t>
  </si>
  <si>
    <t>Responsable</t>
  </si>
  <si>
    <t>Livraison interne?</t>
  </si>
  <si>
    <t>Rémarque</t>
  </si>
  <si>
    <t>souris USB avec fil</t>
  </si>
  <si>
    <t>pièces</t>
  </si>
  <si>
    <t>RFC</t>
  </si>
  <si>
    <t>Reserve (2000)</t>
  </si>
  <si>
    <t>Cable réseau</t>
  </si>
  <si>
    <t>metres</t>
  </si>
  <si>
    <t>connecteur RJ45</t>
  </si>
  <si>
    <t>Ampasanimalo</t>
  </si>
  <si>
    <t>Chargeur PC</t>
  </si>
  <si>
    <t>Mr, PC:2 Rinah</t>
  </si>
  <si>
    <t>Clavier USB externe</t>
  </si>
  <si>
    <t>Adapteur HDMI-VGA</t>
  </si>
  <si>
    <t>CPA</t>
  </si>
  <si>
    <t>Stock (BIRA_CPA)</t>
  </si>
  <si>
    <t>Ecran VGA (deuxième écran)</t>
  </si>
  <si>
    <t xml:space="preserve">Collab vaovao: 6; salle call:1 Charly:1, Sarah:1 </t>
  </si>
  <si>
    <t>Disque SSD</t>
  </si>
  <si>
    <t xml:space="preserve"> Marinah, Sampaniony</t>
  </si>
  <si>
    <t>Collab vaovao</t>
  </si>
  <si>
    <t>Anjaratiana, Priscilla, Anja, Mialy, Faly</t>
  </si>
  <si>
    <t>Batterie PC</t>
  </si>
  <si>
    <t xml:space="preserve"> Solofo, Josué, Lucien, Tsanta, Mickael, Antonia</t>
  </si>
  <si>
    <t>Disque SSD 128 Go</t>
  </si>
  <si>
    <t xml:space="preserve"> Sabine, Elia, Larissa,Sandra, Setra, Mahafinaritra</t>
  </si>
  <si>
    <t xml:space="preserve">Miariharena, Ismaela, </t>
  </si>
  <si>
    <t xml:space="preserve">Teddy, Lalaina, Mira, Hary, Sarah  </t>
  </si>
  <si>
    <t>Nadia, Colombe, Hanitra</t>
  </si>
  <si>
    <t>Disque SSD 256 Go</t>
  </si>
  <si>
    <t>Iderana, Avotra Tinah, Moreno</t>
  </si>
  <si>
    <t>Tiana, Fano</t>
  </si>
  <si>
    <t>Onduleur 1000 VA</t>
  </si>
  <si>
    <t>Ventillo PC</t>
  </si>
  <si>
    <t>Teddy (359 )</t>
  </si>
  <si>
    <t>Teddy</t>
  </si>
  <si>
    <t>Bloc alimentation serveur</t>
  </si>
  <si>
    <t>pièce</t>
  </si>
  <si>
    <t>Serveur cecca</t>
  </si>
  <si>
    <t>Mahery, Ericka, Ifaliana,Mickael + 2 reserve</t>
  </si>
  <si>
    <t>Souris USB avec fil</t>
  </si>
  <si>
    <t>Reserve</t>
  </si>
  <si>
    <t>Tapis souris</t>
  </si>
  <si>
    <t>Carte SD 16 Go</t>
  </si>
  <si>
    <t>Clé USB 16 Go</t>
  </si>
  <si>
    <t>Kanto</t>
  </si>
  <si>
    <t>Adapteur USB-LAN</t>
  </si>
  <si>
    <t>Moreno, Salle call , 2:reserve</t>
  </si>
  <si>
    <t>Câble VGA-VGA</t>
  </si>
  <si>
    <t>Rack 3.0</t>
  </si>
  <si>
    <t>Stock (BNI_CPA)</t>
  </si>
  <si>
    <t>BNI</t>
  </si>
  <si>
    <t>Cable alimentation stantard</t>
  </si>
  <si>
    <t>Switch 16 ports Compatible</t>
  </si>
  <si>
    <t>Box Eccentive</t>
  </si>
  <si>
    <t>Aricette, Reserve+ 2: Antsirabe</t>
  </si>
  <si>
    <t>Mr Françis</t>
  </si>
  <si>
    <t>Mr Francis</t>
  </si>
  <si>
    <t>Rack 3.0 GM</t>
  </si>
  <si>
    <t>Stock (Madafit_CPA)</t>
  </si>
  <si>
    <t>Madafit</t>
  </si>
  <si>
    <t>Adapteur DP-VGA</t>
  </si>
  <si>
    <t>Reparation PC</t>
  </si>
  <si>
    <t>PC Princy</t>
  </si>
  <si>
    <t>Carte mère serveur</t>
  </si>
  <si>
    <t>Narindra, Mandimby, Rija, Gabriella, Faniry, Hantamalala, Tsanta,Lucien, Nirina, Anthony, Mahery</t>
  </si>
  <si>
    <t>Nomena, Tsitohaina</t>
  </si>
  <si>
    <t xml:space="preserve">Andry, Sabine, Jessy, </t>
  </si>
  <si>
    <t>Rindra, Mamix, Lahatra, Avotra, Nyaina, John</t>
  </si>
  <si>
    <t>Larissa, Fanja, Antso, Ravo</t>
  </si>
  <si>
    <t>Stickers pour touche clavier</t>
  </si>
  <si>
    <t xml:space="preserve">Nadia, Seheno, Aina, Rosario </t>
  </si>
  <si>
    <t>Multi USB</t>
  </si>
  <si>
    <t>Nomena, Mahenina, Sanda, Diamondra , Fanja</t>
  </si>
  <si>
    <t>Elias, Antony, Henintsoa, Jedidia</t>
  </si>
  <si>
    <t>Hasina (42 )</t>
  </si>
  <si>
    <t>Hasina ACCEFI</t>
  </si>
  <si>
    <t>Antsirabe</t>
  </si>
  <si>
    <t>Antsirabe, Mialiharisia</t>
  </si>
  <si>
    <t>Micro casque</t>
  </si>
  <si>
    <t>Evaston, Sarah, Fano, Fitahiana</t>
  </si>
  <si>
    <t xml:space="preserve">Rotsy, </t>
  </si>
  <si>
    <t>Manana</t>
  </si>
  <si>
    <t>Ilo, Heriniaina</t>
  </si>
  <si>
    <t>Charnière PC à remplacer</t>
  </si>
  <si>
    <t>Sampaniony (231 )</t>
  </si>
  <si>
    <t>Sampaniony</t>
  </si>
  <si>
    <t>Ecran PC</t>
  </si>
  <si>
    <t>Sata (45 )</t>
  </si>
  <si>
    <t>Sata</t>
  </si>
  <si>
    <t>Volatantely (251 )</t>
  </si>
  <si>
    <t>Vola Tantely</t>
  </si>
  <si>
    <t>Andry,Ravo,Patricia, Antonio, Ando Harilala</t>
  </si>
  <si>
    <t>Experts CPA</t>
  </si>
  <si>
    <t>Mr sy ny vadiny</t>
  </si>
  <si>
    <t>reserve</t>
  </si>
  <si>
    <t>Lova,Mialy</t>
  </si>
  <si>
    <t xml:space="preserve">Fanilo, Heriniaina,Mamix </t>
  </si>
  <si>
    <t>Malala, Alain</t>
  </si>
  <si>
    <t xml:space="preserve">Alison, Faliniaina </t>
  </si>
  <si>
    <t>Onduleur 3kVA</t>
  </si>
  <si>
    <t>Salle serveur RFC</t>
  </si>
  <si>
    <t>Onduleur 850 VA</t>
  </si>
  <si>
    <t>switch RFC</t>
  </si>
  <si>
    <t>Princy, reserve</t>
  </si>
  <si>
    <t xml:space="preserve">Sissia, Salle call </t>
  </si>
  <si>
    <t>Vola, reserve</t>
  </si>
  <si>
    <t>Onduleur 1500 VA</t>
  </si>
  <si>
    <t>Salle serveur Centre</t>
  </si>
  <si>
    <t>Switch centre</t>
  </si>
  <si>
    <t>Mioraniaina, Nambinintsoa</t>
  </si>
  <si>
    <t>Ifaliana, Hortensia</t>
  </si>
  <si>
    <t>Jmax, Collab vaovao Audit CPA</t>
  </si>
  <si>
    <t>Antsirabe, Sarah</t>
  </si>
  <si>
    <t>Mr</t>
  </si>
  <si>
    <t>Télé BNI, CPA</t>
  </si>
  <si>
    <t>Télé Salle U</t>
  </si>
  <si>
    <t>mètres</t>
  </si>
  <si>
    <t>CPA hanoloana izay lanin'ny voalavo</t>
  </si>
  <si>
    <t>Centre hanoloana izay lanin'ny voalavo</t>
  </si>
  <si>
    <t>PC nentin'i Cedrick</t>
  </si>
  <si>
    <t xml:space="preserve">Felana, </t>
  </si>
  <si>
    <t>Eric, Elias, Angelo (Collab vaovao)</t>
  </si>
  <si>
    <t>Mickael, Mika, Equipe MyU, Lanja</t>
  </si>
  <si>
    <t xml:space="preserve"> reserve</t>
  </si>
  <si>
    <t>Nissen (507 )</t>
  </si>
  <si>
    <t xml:space="preserve">Nissen Bira </t>
  </si>
  <si>
    <t>Câble alimentation trèfle</t>
  </si>
  <si>
    <t>reserve, Rado, Rosario, Thiavina</t>
  </si>
  <si>
    <t>Onintsoa Bira, Ravo, Patricia, Daniel</t>
  </si>
  <si>
    <t>Vaovao</t>
  </si>
  <si>
    <t>Site vaovao</t>
  </si>
  <si>
    <t xml:space="preserve">Antsa, Nandriania Bira, </t>
  </si>
  <si>
    <t>Anita (147 )</t>
  </si>
  <si>
    <t>Anita</t>
  </si>
  <si>
    <t>DELL / i5 7em Gen / 8Go RAM / 250Go SSD</t>
  </si>
  <si>
    <t>Stephan (840 )</t>
  </si>
  <si>
    <t>DELL 5590 / i5 8em Gen / 8Go RAM / 256 SSD</t>
  </si>
  <si>
    <t>Kanto Lalaina (830 )</t>
  </si>
  <si>
    <t>T24023</t>
  </si>
  <si>
    <t>LENOVO T590 / i5 8em Gen / 8Go RAM / 256 SSD</t>
  </si>
  <si>
    <t>Judith (824 )</t>
  </si>
  <si>
    <t>T24030</t>
  </si>
  <si>
    <t>DELL 5590 / i5 7em Gen / 8Go RAM / 256 SSD</t>
  </si>
  <si>
    <t>Tsilavony (831 )</t>
  </si>
  <si>
    <t>T24031</t>
  </si>
  <si>
    <t>DELL 3580 / i5 8em Gen / 8Go RAM / 256 SSD</t>
  </si>
  <si>
    <t>Mitha (826 )</t>
  </si>
  <si>
    <t>T24035</t>
  </si>
  <si>
    <t>DELL 3590 / i5 7em Gen / 8Go RAM / 256 SSD</t>
  </si>
  <si>
    <t>Dinasoa (821 )</t>
  </si>
  <si>
    <t>T25005</t>
  </si>
  <si>
    <t>8em promotion</t>
  </si>
  <si>
    <t>DELL 3580 / i5 7em Gen / 8Go RAM / 256 SSD</t>
  </si>
  <si>
    <t>Faliana (836 )</t>
  </si>
  <si>
    <t>T24026</t>
  </si>
  <si>
    <t>Gaelle (827 )</t>
  </si>
  <si>
    <t>T24032</t>
  </si>
  <si>
    <t>DELL 5580 / i5 7em Gen / 8Go RAM / 256 SSD</t>
  </si>
  <si>
    <t>Tsihoarana (838 )</t>
  </si>
  <si>
    <t>T24041</t>
  </si>
  <si>
    <t>Mirasoa (832 )</t>
  </si>
  <si>
    <t>T24044</t>
  </si>
  <si>
    <t>Mahenintsoa (839 )</t>
  </si>
  <si>
    <t>T24046</t>
  </si>
  <si>
    <t>Anna (833 )</t>
  </si>
  <si>
    <t>T24025</t>
  </si>
  <si>
    <t>Mijah (820 )</t>
  </si>
  <si>
    <t>T24042</t>
  </si>
  <si>
    <t>Rajo (828 )</t>
  </si>
  <si>
    <t>T24043</t>
  </si>
  <si>
    <t>Harilala (837 )</t>
  </si>
  <si>
    <t>T24050</t>
  </si>
  <si>
    <t>DELL 3510 / i7 6em Gen / 12Go RAM / 256 SSD</t>
  </si>
  <si>
    <t>Ivanah (823 )</t>
  </si>
  <si>
    <t>T24033</t>
  </si>
  <si>
    <t>DELL 3510 / i5 10em Gen / 12Go RAM / 256 SSD</t>
  </si>
  <si>
    <t>Soja (841 )</t>
  </si>
  <si>
    <t>T24054</t>
  </si>
  <si>
    <t>Anjaniaina (818 )</t>
  </si>
  <si>
    <t>T24021</t>
  </si>
  <si>
    <t>Arron (829 )</t>
  </si>
  <si>
    <t>T24040</t>
  </si>
  <si>
    <t>DELL P75F / i5 8em Gen / 8Go RAM / 256 SSD</t>
  </si>
  <si>
    <t>Aro (834 )</t>
  </si>
  <si>
    <t>T24051</t>
  </si>
  <si>
    <t>Olivia Mihaja (850 )</t>
  </si>
  <si>
    <t>T24055</t>
  </si>
  <si>
    <t>Tsoutsou (852 )</t>
  </si>
  <si>
    <t>T24057</t>
  </si>
  <si>
    <t>Soa priscilla (854 )</t>
  </si>
  <si>
    <t>T24047</t>
  </si>
  <si>
    <t>DELL 3500 / i5 8em Gen / 12Go RAM / 256 SSD</t>
  </si>
  <si>
    <t>Rina (848 )</t>
  </si>
  <si>
    <t>T24053</t>
  </si>
  <si>
    <t>HP 250 G7 / i5 8em Gen/ 8Go RAM / 256 SSD</t>
  </si>
  <si>
    <t>Diry (849 )</t>
  </si>
  <si>
    <t>T24038</t>
  </si>
  <si>
    <t>Noella (847 )</t>
  </si>
  <si>
    <t>T24052</t>
  </si>
  <si>
    <t>Diary (855 )</t>
  </si>
  <si>
    <t>T24024</t>
  </si>
  <si>
    <t>Matthias (853)</t>
  </si>
  <si>
    <t>T24029</t>
  </si>
  <si>
    <t>Hasinjaka (863 )</t>
  </si>
  <si>
    <t>T24028</t>
  </si>
  <si>
    <t>Larsene (851 )</t>
  </si>
  <si>
    <t>T24027</t>
  </si>
  <si>
    <t>Sylvianne (845 )</t>
  </si>
  <si>
    <t>T24048</t>
  </si>
  <si>
    <t>Hanitriniala (861 )</t>
  </si>
  <si>
    <t>T24056</t>
  </si>
  <si>
    <t>DELL P66F / i5 7em Gen / 8Go RAM / 256 SSD</t>
  </si>
  <si>
    <t>Colombe (61)</t>
  </si>
  <si>
    <t>T24045</t>
  </si>
  <si>
    <t>Fy (203 )</t>
  </si>
  <si>
    <t>T24060</t>
  </si>
  <si>
    <t>Rindra(843)</t>
  </si>
  <si>
    <t>T24058</t>
  </si>
  <si>
    <t>Landry (860 )</t>
  </si>
  <si>
    <t>T24049</t>
  </si>
  <si>
    <t>DELL 5590 / i5 6em Gen / 8Go RAM / 256 SSD</t>
  </si>
  <si>
    <t>Luc (825 )</t>
  </si>
  <si>
    <t>T24034</t>
  </si>
  <si>
    <t>Andriamanoro (822 )</t>
  </si>
  <si>
    <t>T24036</t>
  </si>
  <si>
    <t>HP 250 G7 / i5 8em Gen / 8Go RAM / 250Go SSD</t>
  </si>
  <si>
    <t>Fiharintsoa (835 )</t>
  </si>
  <si>
    <t>T24039</t>
  </si>
  <si>
    <t>DELL 3590 / i5 8em Gen / 8Go RAM / 256 SSD</t>
  </si>
  <si>
    <t>Fy (819 )</t>
  </si>
  <si>
    <t>T24059</t>
  </si>
  <si>
    <t>Unité centrale</t>
  </si>
  <si>
    <t>Matura</t>
  </si>
  <si>
    <t>Dongle wifi</t>
  </si>
  <si>
    <t>Lalatiana</t>
  </si>
  <si>
    <t>Cable HDMI 10m blidé</t>
  </si>
  <si>
    <t>Apprenti  + 2 vaovao</t>
  </si>
  <si>
    <t>Salle PING</t>
  </si>
  <si>
    <t>BNI Recci</t>
  </si>
  <si>
    <t>Stock (BNI_RFC)</t>
  </si>
  <si>
    <t>Connecteur RJ45</t>
  </si>
  <si>
    <t>Apprenti</t>
  </si>
  <si>
    <t>Spliter HDMI 4k</t>
  </si>
  <si>
    <t>Mielohasina</t>
  </si>
  <si>
    <t>HP 250 G7 / i5 8em Gen / 8Go RAM / 120Go SSD + 500Go HDD</t>
  </si>
  <si>
    <t>Andry (273)</t>
  </si>
  <si>
    <t>T24037</t>
  </si>
  <si>
    <t>Cynthia (303 )</t>
  </si>
  <si>
    <t>T25002</t>
  </si>
  <si>
    <t>Tonga ny Vazaha tao @ Antso</t>
  </si>
  <si>
    <t>Stock</t>
  </si>
  <si>
    <t>Decodeur camera ALHUA avec 2 camera IP SN : 7D05B69PAZF2E80</t>
  </si>
  <si>
    <t>Antsa (2 )</t>
  </si>
  <si>
    <t>Decodeur camera ALHUA avec 7 camera SN : 7D0FC65PAZDC133</t>
  </si>
  <si>
    <t xml:space="preserve">Pieuvre ALCATEL IP1850 avec 4 micros SN :  10 000 514 </t>
  </si>
  <si>
    <t>Chargeur PC Asus</t>
  </si>
  <si>
    <t>Larissa, Mahafinaritra, 2: reserve</t>
  </si>
  <si>
    <t>John, Gabriella,  Rado, Iderana</t>
  </si>
  <si>
    <t>Disque SSD 500 Go</t>
  </si>
  <si>
    <t>Setra, Ntsoa,serveur biostar BNI</t>
  </si>
  <si>
    <t>Hasina, Onja</t>
  </si>
  <si>
    <t>Disque SSD 250 Go</t>
  </si>
  <si>
    <t>Fanja, Jessica, Ny volana</t>
  </si>
  <si>
    <t>Fy, reserve</t>
  </si>
  <si>
    <t>Miarantsoa, Volana,Paquerette</t>
  </si>
  <si>
    <t>Koloina, Antsirabe: 2</t>
  </si>
  <si>
    <t>Monia, Rija, Leatitia, reserve</t>
  </si>
  <si>
    <t>Marque</t>
  </si>
  <si>
    <t>Utilisateur</t>
  </si>
  <si>
    <t>Mixie</t>
  </si>
  <si>
    <t>Maherisoa (442 )</t>
  </si>
  <si>
    <t>ok</t>
  </si>
  <si>
    <t>Mentionné via skype par Ericka</t>
  </si>
  <si>
    <t>Stock (Madafit_RFC)</t>
  </si>
  <si>
    <t>tapis souris</t>
  </si>
  <si>
    <t>oui</t>
  </si>
  <si>
    <t>LIVRAISON COMMANDE</t>
  </si>
  <si>
    <t>M19</t>
  </si>
  <si>
    <t>Laptop Asus Gamer ROG GL552JX Core i5 6e gen 2.8GHz, 8GB RAM, 256SSD, écran 15.6" Full HD, Réf: T24006</t>
  </si>
  <si>
    <t>ASUS</t>
  </si>
  <si>
    <t>Laptop Dell latitude 5590 Core i7 6e gen 2.4GHz, 8GB RAM, 256SSD, écran 15.6" Full HD,  Réf: T24007</t>
  </si>
  <si>
    <t>DELL</t>
  </si>
  <si>
    <t>TV 65" SPJ avec pieds</t>
  </si>
  <si>
    <t>PC HP Probook HP 470 G7 Notebook PC SN: 5CG0428F8J</t>
  </si>
  <si>
    <t>PC Dell Latitude 5590 SN: 6YPLSQ2</t>
  </si>
  <si>
    <t>PC Dell Latitude 5500 SN: D6S0YY2</t>
  </si>
  <si>
    <t>Caddy</t>
  </si>
  <si>
    <t>Disque SSD 128 Go Lexar</t>
  </si>
  <si>
    <t>stock (Madafit_CPA)</t>
  </si>
  <si>
    <t>Stock initial</t>
  </si>
  <si>
    <t>Suivi sortie matériel</t>
  </si>
  <si>
    <t>Date de sortie</t>
  </si>
  <si>
    <t>Remarques</t>
  </si>
  <si>
    <t>Emplacement</t>
  </si>
  <si>
    <t>Livraison interne</t>
  </si>
  <si>
    <t>Irina (577 )</t>
  </si>
  <si>
    <t>ankizy vaovao</t>
  </si>
  <si>
    <t>Serveur BNI</t>
  </si>
  <si>
    <t>-</t>
  </si>
  <si>
    <t>Manitra (503 )</t>
  </si>
  <si>
    <t>Manao clic double ny simple clic</t>
  </si>
  <si>
    <t>Volamiora (130 )</t>
  </si>
  <si>
    <t>Tiavina (445)</t>
  </si>
  <si>
    <t>Faly (436 )</t>
  </si>
  <si>
    <t>Antso (576 )</t>
  </si>
  <si>
    <t>Lanja (438 )</t>
  </si>
  <si>
    <t>Hasina Lalaina (358 )</t>
  </si>
  <si>
    <t>Tahiana Jeanie (249 )</t>
  </si>
  <si>
    <t>Collab vaovao 6</t>
  </si>
  <si>
    <t>Salle Call</t>
  </si>
  <si>
    <t>Charly (158 )</t>
  </si>
  <si>
    <t>Sarah (205 )</t>
  </si>
  <si>
    <t>Malala (431 )</t>
  </si>
  <si>
    <t>Hariniaina (506 )</t>
  </si>
  <si>
    <t>Miarantsoa (36 )</t>
  </si>
  <si>
    <t>Rinah (341 )</t>
  </si>
  <si>
    <t>Herizo (26 )</t>
  </si>
  <si>
    <t>Miora</t>
  </si>
  <si>
    <t>Ny Avo</t>
  </si>
  <si>
    <t>Ny Avo (208 )</t>
  </si>
  <si>
    <t>Njaraniaina (76 )</t>
  </si>
  <si>
    <t>Mirado (348 )</t>
  </si>
  <si>
    <t>Aina (19 )</t>
  </si>
  <si>
    <t>Marinah (255 )</t>
  </si>
  <si>
    <t>Anjaratiana (223 )</t>
  </si>
  <si>
    <t>Priscilla (227 )</t>
  </si>
  <si>
    <t>Anja (209 )</t>
  </si>
  <si>
    <t>Mialy (238 )</t>
  </si>
  <si>
    <t>Njiva (71 )</t>
  </si>
  <si>
    <t>Princia (362 )</t>
  </si>
  <si>
    <t>Njara (51 )</t>
  </si>
  <si>
    <t>Elisa (404 )</t>
  </si>
  <si>
    <t>Mahafinaritra (211 )</t>
  </si>
  <si>
    <t>Mahenina (86 )</t>
  </si>
  <si>
    <t>Christinah (454 )</t>
  </si>
  <si>
    <t>Rado (280)</t>
  </si>
  <si>
    <t>Rado anakiroa</t>
  </si>
  <si>
    <t>Samson (548 )</t>
  </si>
  <si>
    <t>Souris instable (mihetsiketsika ho azy)</t>
  </si>
  <si>
    <t>Antsiva (253)</t>
  </si>
  <si>
    <t>Jessy (25 )</t>
  </si>
  <si>
    <t>John (70 )</t>
  </si>
  <si>
    <t>Nadia (83 )</t>
  </si>
  <si>
    <t>Aris (294 )</t>
  </si>
  <si>
    <t>Evah (204 )</t>
  </si>
  <si>
    <t>Lalaina (504 )</t>
  </si>
  <si>
    <t>Mihitsoka ny clic gauche matetika</t>
  </si>
  <si>
    <t>Solofo (333 )</t>
  </si>
  <si>
    <t>Josué (64 )</t>
  </si>
  <si>
    <t>Lucien (62 )</t>
  </si>
  <si>
    <t>Tsanta (557)</t>
  </si>
  <si>
    <t>Mickael (409 )</t>
  </si>
  <si>
    <t>Antonia (181 )</t>
  </si>
  <si>
    <t>Sabine (161 )</t>
  </si>
  <si>
    <t>Elia (217 )</t>
  </si>
  <si>
    <t>Larissa (155 )</t>
  </si>
  <si>
    <t>Sandra (135 )</t>
  </si>
  <si>
    <t>Setra (24 )</t>
  </si>
  <si>
    <t>Mihariharena (395 )</t>
  </si>
  <si>
    <t>Ismael (387 )</t>
  </si>
  <si>
    <t>Lalaina (207 )</t>
  </si>
  <si>
    <t>Mira (285 )</t>
  </si>
  <si>
    <t>Hary (224 )</t>
  </si>
  <si>
    <t>Sarah (338 )</t>
  </si>
  <si>
    <t>Hedi (efa niala)</t>
  </si>
  <si>
    <t>Mampionona (365)</t>
  </si>
  <si>
    <t>Vola (68 )</t>
  </si>
  <si>
    <t>Hanitra (23 )</t>
  </si>
  <si>
    <t>Hedi</t>
  </si>
  <si>
    <t>Iderana (248)</t>
  </si>
  <si>
    <t>Avotra Tinah (183 )</t>
  </si>
  <si>
    <t>Moreno (246 )</t>
  </si>
  <si>
    <t>Tiana (175 )</t>
  </si>
  <si>
    <t>Fano (240 )</t>
  </si>
  <si>
    <t>Zouzou (47 )</t>
  </si>
  <si>
    <t>Faniry (44 )</t>
  </si>
  <si>
    <t>Maty tanteraka ny clic gauche</t>
  </si>
  <si>
    <t>Elias (351 )</t>
  </si>
  <si>
    <t>Sedera (509 )</t>
  </si>
  <si>
    <t>Mamotsotra ilay clic gauche rehefa hitaritana selection na hanaovana glisser/deposer</t>
  </si>
  <si>
    <t>Lydie (517 )</t>
  </si>
  <si>
    <t>Mafy tsindriana be ny clic gauche,</t>
  </si>
  <si>
    <t>Ravo (214 )</t>
  </si>
  <si>
    <t>Serveur ANTSIRABE</t>
  </si>
  <si>
    <t>Jeannie (515 )</t>
  </si>
  <si>
    <t>Port VGA dessoudé</t>
  </si>
  <si>
    <t>Fitiavana (210 )</t>
  </si>
  <si>
    <t>Ariniaina (282 )</t>
  </si>
  <si>
    <t>Mahazo tsy mahazo ny clic gauche</t>
  </si>
  <si>
    <t>Narindra (390 )</t>
  </si>
  <si>
    <t>Oceane (316 )</t>
  </si>
  <si>
    <t>Oceane</t>
  </si>
  <si>
    <t>Mendrika (383 )</t>
  </si>
  <si>
    <t>Menrdika</t>
  </si>
  <si>
    <t>Princi (449)</t>
  </si>
  <si>
    <t>Princy</t>
  </si>
  <si>
    <t>Nantenaina (448)</t>
  </si>
  <si>
    <t>Nanantenaina</t>
  </si>
  <si>
    <t>Mitia (552)</t>
  </si>
  <si>
    <t>Mitia</t>
  </si>
  <si>
    <t>Aricette (306 )</t>
  </si>
  <si>
    <t>Solohery (388 )</t>
  </si>
  <si>
    <t>Kanto (267 )</t>
  </si>
  <si>
    <t>Salle Call 1</t>
  </si>
  <si>
    <t>Salle call</t>
  </si>
  <si>
    <t>Lova (31 )</t>
  </si>
  <si>
    <t>Niony (216 )</t>
  </si>
  <si>
    <t>Rija (262)</t>
  </si>
  <si>
    <t>Ny Avo (272 )</t>
  </si>
  <si>
    <t>Avotra (5 )</t>
  </si>
  <si>
    <t>Mamisoa (547 )</t>
  </si>
  <si>
    <t>mamontsotra rehefa hitarihana selection lavalava</t>
  </si>
  <si>
    <t>Mioraniaina (394 )</t>
  </si>
  <si>
    <t xml:space="preserve"> </t>
  </si>
  <si>
    <t>Domoina (441 )</t>
  </si>
  <si>
    <t>Ny Ela (566)</t>
  </si>
  <si>
    <t>Faliniaina (800 )</t>
  </si>
  <si>
    <t>Fanohy (302 )</t>
  </si>
  <si>
    <t>Fanirisoa (502 )</t>
  </si>
  <si>
    <t>Maty clic gauche</t>
  </si>
  <si>
    <t>Miantsa (202 )</t>
  </si>
  <si>
    <t>Volana (384 )</t>
  </si>
  <si>
    <t>Natacha (396 )</t>
  </si>
  <si>
    <t>Tanteraka (340 )</t>
  </si>
  <si>
    <t>Lalatiana (58 )</t>
  </si>
  <si>
    <t>Miandra (321 )</t>
  </si>
  <si>
    <t xml:space="preserve"> 2em fois nosoloina nefa vao haingana no nosoloina farany</t>
  </si>
  <si>
    <t>Nirintsoa (288 )</t>
  </si>
  <si>
    <t>Ando (138 )</t>
  </si>
  <si>
    <t>2eme carte reseau serveur de partage fichiers et Biostar</t>
  </si>
  <si>
    <t>Felana (137 )</t>
  </si>
  <si>
    <t>Mialiharisoa (324 )</t>
  </si>
  <si>
    <t>Rivo (27 )</t>
  </si>
  <si>
    <t>Sylvano (34 )</t>
  </si>
  <si>
    <t>Kwac (461)</t>
  </si>
  <si>
    <t>Tsinjonavalona (460)</t>
  </si>
  <si>
    <t>Harivony (510 )</t>
  </si>
  <si>
    <t>mafy be ny clic gauche</t>
  </si>
  <si>
    <t>Nanah (261 )</t>
  </si>
  <si>
    <t>Cable alimentation, 2è ecran</t>
  </si>
  <si>
    <t>Mamy Tantely (141 )</t>
  </si>
  <si>
    <t>Anthony (245 )</t>
  </si>
  <si>
    <t>Mendrika (505 )</t>
  </si>
  <si>
    <t>Nanadino tapis (niasa temporairement aty Antsirabe)</t>
  </si>
  <si>
    <t>Arthur (237 )</t>
  </si>
  <si>
    <t>Bertillon (242 )</t>
  </si>
  <si>
    <t>Tahirilalaina (545 )</t>
  </si>
  <si>
    <t>Dollye (1010 )</t>
  </si>
  <si>
    <t>Sahoby (1009 )</t>
  </si>
  <si>
    <t>Dany (811 )</t>
  </si>
  <si>
    <t>Youlah (278)</t>
  </si>
  <si>
    <t>Fanjavololona (144 )</t>
  </si>
  <si>
    <t>Tsy hay hoe iza, Collab vaovao MADAFAIT (Mahefa)</t>
  </si>
  <si>
    <t>Daniel (389 )</t>
  </si>
  <si>
    <t>Rado (52 )</t>
  </si>
  <si>
    <t>Safidy (402 )</t>
  </si>
  <si>
    <t>Ando (513 )</t>
  </si>
  <si>
    <t>Efa ratsy, rovitra</t>
  </si>
  <si>
    <t>Rovasoa (292 )</t>
  </si>
  <si>
    <t>Zo (283 )</t>
  </si>
  <si>
    <t>Ilo (317 )</t>
  </si>
  <si>
    <t>Malalaniaina (425 )</t>
  </si>
  <si>
    <t>Patricia (9 )</t>
  </si>
  <si>
    <t>Manampy (452)</t>
  </si>
  <si>
    <t>Maeva (378 )</t>
  </si>
  <si>
    <t>Mandimby (559)</t>
  </si>
  <si>
    <t>Gabriella (243 )</t>
  </si>
  <si>
    <t>Faniry (399 )</t>
  </si>
  <si>
    <t>Hanta (398 )</t>
  </si>
  <si>
    <t>Nirina (18 )</t>
  </si>
  <si>
    <t>Anthony (397 )</t>
  </si>
  <si>
    <t>Mahery (128 )</t>
  </si>
  <si>
    <t>Rindra (156 )</t>
  </si>
  <si>
    <t>Mamy (164 )</t>
  </si>
  <si>
    <t>Lahatra (226 )</t>
  </si>
  <si>
    <t>Nyaina (556)</t>
  </si>
  <si>
    <t>Fanja (48 )</t>
  </si>
  <si>
    <t>Henintsoa (801 )</t>
  </si>
  <si>
    <t>Jedidia (385 )</t>
  </si>
  <si>
    <t>Evaston (260 )</t>
  </si>
  <si>
    <t>Fitahiana (275)</t>
  </si>
  <si>
    <t>Ianja (527 )</t>
  </si>
  <si>
    <t>Simba ny integré</t>
  </si>
  <si>
    <t>Njato Be (69 )</t>
  </si>
  <si>
    <t>Sidonie (349 )</t>
  </si>
  <si>
    <t>Jessica (212 )</t>
  </si>
  <si>
    <t>Kanto (270 )</t>
  </si>
  <si>
    <t>Nihasina (386 )</t>
  </si>
  <si>
    <t>Salle call 2</t>
  </si>
  <si>
    <t>Tsinjo (530 )</t>
  </si>
  <si>
    <t>Sandy (430 )</t>
  </si>
  <si>
    <t>Christian (419 )</t>
  </si>
  <si>
    <t>Faly (56 )</t>
  </si>
  <si>
    <t>Serveur CPA</t>
  </si>
  <si>
    <t>Haingo (808 )</t>
  </si>
  <si>
    <t>Eric (66 )</t>
  </si>
  <si>
    <t>Tsy ao intsony</t>
  </si>
  <si>
    <t>Mario (363 )</t>
  </si>
  <si>
    <t>Riantsoa (323 )</t>
  </si>
  <si>
    <t>Onitiana (146 )</t>
  </si>
  <si>
    <t>Fanomezana (803 )</t>
  </si>
  <si>
    <t>Nomena (176 )</t>
  </si>
  <si>
    <t>Diamondra (145 )</t>
  </si>
  <si>
    <t>Ravaka (63 )</t>
  </si>
  <si>
    <t>u</t>
  </si>
  <si>
    <t>Nante (293 )</t>
  </si>
  <si>
    <t>Julio (462 )</t>
  </si>
  <si>
    <t>Certaines touches de la pavé numérique du clavier ne marce plus</t>
  </si>
  <si>
    <t>Olivia (284 )</t>
  </si>
  <si>
    <t>Sanda (392 )</t>
  </si>
  <si>
    <t>Eddy (310 )</t>
  </si>
  <si>
    <t>Finoana (382 )</t>
  </si>
  <si>
    <t>Jess (325 )</t>
  </si>
  <si>
    <t>Heritiana (191 )</t>
  </si>
  <si>
    <t>Arinala (75 )</t>
  </si>
  <si>
    <t>Haja (387 )</t>
  </si>
  <si>
    <t>Njakahery (159 )</t>
  </si>
  <si>
    <t>Luciana (250 )</t>
  </si>
  <si>
    <t>Onja (188 )</t>
  </si>
  <si>
    <t>Volatantely</t>
  </si>
  <si>
    <t>Francia (403 )</t>
  </si>
  <si>
    <t>Roxanne (126 )</t>
  </si>
  <si>
    <t>Landy (435 )</t>
  </si>
  <si>
    <t>Volana (269 )</t>
  </si>
  <si>
    <t>Jean Max (000)</t>
  </si>
  <si>
    <t>Fanilo (439 )</t>
  </si>
  <si>
    <t>Heriniaina (7 )</t>
  </si>
  <si>
    <t>Alain</t>
  </si>
  <si>
    <t>Alison (806 )</t>
  </si>
  <si>
    <t>Dinasoa (277 )</t>
  </si>
  <si>
    <t>Daniela (184 )</t>
  </si>
  <si>
    <t>Ranja (22 )</t>
  </si>
  <si>
    <t>Fanantenana (524 )</t>
  </si>
  <si>
    <t>Koloina (287 )</t>
  </si>
  <si>
    <t>Marcel (579 )</t>
  </si>
  <si>
    <t>Ny volana (185 )</t>
  </si>
  <si>
    <t>Thiavina (112 )</t>
  </si>
  <si>
    <t>Rojovola (408 )</t>
  </si>
  <si>
    <t>Anthonyo (405 )</t>
  </si>
  <si>
    <t>Onisoa (256)</t>
  </si>
  <si>
    <t>Avotriniaina (291 )</t>
  </si>
  <si>
    <t>Hugues (327 )</t>
  </si>
  <si>
    <t>Laetitia (446)</t>
  </si>
  <si>
    <t>Valiha (421 )</t>
  </si>
  <si>
    <t>Brondonne (514 )</t>
  </si>
  <si>
    <t>Maty moulette</t>
  </si>
  <si>
    <t>Andoarilala (569)</t>
  </si>
  <si>
    <t>Serveur CENTRE</t>
  </si>
  <si>
    <t>Tsilavo (252 )</t>
  </si>
  <si>
    <t>Andry (315 )</t>
  </si>
  <si>
    <t>Cedric (370 )</t>
  </si>
  <si>
    <t>Christelle (298 )</t>
  </si>
  <si>
    <t>Niaina (131 )</t>
  </si>
  <si>
    <t>Rita (178 )</t>
  </si>
  <si>
    <t>Freddy (375 )</t>
  </si>
  <si>
    <t>Switch RFC</t>
  </si>
  <si>
    <t>Sissia (30 )</t>
  </si>
  <si>
    <t>Nambinintsoa (300 )</t>
  </si>
  <si>
    <t>Ifaliana (117 )</t>
  </si>
  <si>
    <t>Hortensia (570)</t>
  </si>
  <si>
    <t>Collab vaovao Audit CPA</t>
  </si>
  <si>
    <t>Naomy (453)</t>
  </si>
  <si>
    <t>Alexia (414 )</t>
  </si>
  <si>
    <t>Rojo (17 )</t>
  </si>
  <si>
    <t>Nomentsoa (215 )</t>
  </si>
  <si>
    <t>Domoina (329 )</t>
  </si>
  <si>
    <t>Claudia (334 )</t>
  </si>
  <si>
    <t>Mahefa (11 )</t>
  </si>
  <si>
    <t>Mandratosoa (554)</t>
  </si>
  <si>
    <t>Miora (380 )</t>
  </si>
  <si>
    <t>Tsiory (429 )</t>
  </si>
  <si>
    <t>Judica (313 )</t>
  </si>
  <si>
    <t>Laza (410 )</t>
  </si>
  <si>
    <t>Orlando (561)</t>
  </si>
  <si>
    <t>Télé BNI</t>
  </si>
  <si>
    <t>Tele salle U</t>
  </si>
  <si>
    <t>Liliane (391 )</t>
  </si>
  <si>
    <t>Felana</t>
  </si>
  <si>
    <t>Angelo (816 )</t>
  </si>
  <si>
    <t>Rosario (236 )</t>
  </si>
  <si>
    <t>Nandrianina (526 )</t>
  </si>
  <si>
    <t>Tsiory (543 )</t>
  </si>
  <si>
    <t>Miknea ( 457)</t>
  </si>
  <si>
    <t>Mika</t>
  </si>
  <si>
    <t>Micka (6 )</t>
  </si>
  <si>
    <t>Equipe MyU</t>
  </si>
  <si>
    <t>Apprenti 8e prom</t>
  </si>
  <si>
    <t>Prom 8 (BNI)</t>
  </si>
  <si>
    <t>Tiana (521 )</t>
  </si>
  <si>
    <t>Imprimante Anita</t>
  </si>
  <si>
    <t>Hasina (301 )</t>
  </si>
  <si>
    <t>Lita (328 )</t>
  </si>
  <si>
    <t>Mi (20 )</t>
  </si>
  <si>
    <t>Monia (842 )</t>
  </si>
  <si>
    <t>Maty sahady ilay teo aloha</t>
  </si>
  <si>
    <t>Harilanto (279 )</t>
  </si>
  <si>
    <t>Onintsoa (541 )</t>
  </si>
  <si>
    <t>Salle U</t>
  </si>
  <si>
    <t>Felana (532 )</t>
  </si>
  <si>
    <t>Harimalala (413 )</t>
  </si>
  <si>
    <t>Maty sahady rehefa nampiasaina 1 jour fotsiny</t>
  </si>
  <si>
    <t>Safidy (352 )</t>
  </si>
  <si>
    <t>Tsoa (114 )</t>
  </si>
  <si>
    <t>Njato (14 )</t>
  </si>
  <si>
    <t>Vony (125 )</t>
  </si>
  <si>
    <t>BNI recci</t>
  </si>
  <si>
    <t>Apprenti + 2 vaovao</t>
  </si>
  <si>
    <t>Daty  savaina</t>
  </si>
  <si>
    <t>Sylviane 845</t>
  </si>
  <si>
    <t>Stagiaire LIFRE</t>
  </si>
  <si>
    <t>Salle serveur MATURA</t>
  </si>
  <si>
    <t>Salle serveur Madafit</t>
  </si>
  <si>
    <t>Katia (192 )</t>
  </si>
  <si>
    <t>Mihary (258 )</t>
  </si>
  <si>
    <t>Mirantsoa (862 )</t>
  </si>
  <si>
    <t>Annicka (844 )</t>
  </si>
  <si>
    <t>Rija (859 )</t>
  </si>
  <si>
    <t>Seheno (281 )</t>
  </si>
  <si>
    <t>Diary 855</t>
  </si>
  <si>
    <t>Manana (357 )</t>
  </si>
  <si>
    <t>Tsimiofo (802 )</t>
  </si>
  <si>
    <t>Hardy (864 )</t>
  </si>
  <si>
    <t>Jouannah (565)</t>
  </si>
  <si>
    <t>Todisoa (544 )</t>
  </si>
  <si>
    <t>Paquerette (546 )</t>
  </si>
  <si>
    <t>Monique (535 )</t>
  </si>
  <si>
    <t>Mirella (537 )</t>
  </si>
  <si>
    <t>Mirindra (35 )</t>
  </si>
  <si>
    <t>Serveur MATURA</t>
  </si>
  <si>
    <t>Seheno (336 )</t>
  </si>
  <si>
    <t>Rado</t>
  </si>
  <si>
    <t>Fanie (516 )</t>
  </si>
  <si>
    <t>FaniryHasina (54 )</t>
  </si>
  <si>
    <t>Antisrabe</t>
  </si>
  <si>
    <t>Stagiaire ASJA BIRA</t>
  </si>
  <si>
    <t>Zoly (15 )</t>
  </si>
  <si>
    <t>Francky (344 )</t>
  </si>
  <si>
    <t>...VGA</t>
  </si>
  <si>
    <t>Tsiry (154 )</t>
  </si>
  <si>
    <t>Rova (522 )</t>
  </si>
  <si>
    <t>Faneva (168 )</t>
  </si>
  <si>
    <t>Serveur Biostar BNI</t>
  </si>
  <si>
    <t>Vero (508 )</t>
  </si>
  <si>
    <t>Njaka (116 )</t>
  </si>
  <si>
    <t xml:space="preserve">Zo Lalaina = 578 </t>
  </si>
  <si>
    <t>Zo Lalaina (578 )</t>
  </si>
  <si>
    <t>Steeve (525 )</t>
  </si>
  <si>
    <t>Dinah (374 )</t>
  </si>
  <si>
    <t>Odilon (174 )</t>
  </si>
  <si>
    <t>Rotsy (182 )</t>
  </si>
  <si>
    <t>Velonarivo (412 )</t>
  </si>
  <si>
    <t>Ny Andoniaina</t>
  </si>
  <si>
    <t>Ny Andoniaina (455 )</t>
  </si>
  <si>
    <t>Mamy Yves (423 )</t>
  </si>
  <si>
    <t>Finaritra 868</t>
  </si>
  <si>
    <t>Finaritra (868 )</t>
  </si>
  <si>
    <t>Martin (346 )</t>
  </si>
  <si>
    <t>Jonathan(869)</t>
  </si>
  <si>
    <t>Jonathan (869 )</t>
  </si>
  <si>
    <t>Nomenjanahary (807 )</t>
  </si>
  <si>
    <t>Jaela (871 )</t>
  </si>
  <si>
    <t>Miarintsoa (575)</t>
  </si>
  <si>
    <t>Alain (347 )</t>
  </si>
  <si>
    <t>Tatamonirina (805 )</t>
  </si>
  <si>
    <t>José (119 )</t>
  </si>
  <si>
    <t>Jean Noël (804 )</t>
  </si>
  <si>
    <t>Onisoa (536 )</t>
  </si>
  <si>
    <t>Santé  de l'ancien SSD à 46%</t>
  </si>
  <si>
    <t>Ericka (87 )</t>
  </si>
  <si>
    <t>Mamiharisoa (417 )</t>
  </si>
  <si>
    <t>Larissa (887 )</t>
  </si>
  <si>
    <t>Tokiniaina (450 )</t>
  </si>
  <si>
    <t>Arielle (271 )</t>
  </si>
  <si>
    <t>Stagiaire DEV Madafit</t>
  </si>
  <si>
    <t>Misa (817 )</t>
  </si>
  <si>
    <t>Fanantenana (254 )</t>
  </si>
  <si>
    <t>Alice (366 )</t>
  </si>
  <si>
    <t>Stagiaire 8 Migtation MYU</t>
  </si>
  <si>
    <t>Serveur Matura</t>
  </si>
  <si>
    <t>Stagiaire Muy</t>
  </si>
  <si>
    <t>Stagiaire Lifre TANA</t>
  </si>
  <si>
    <t>Tahiana (Mendrika) (534 )</t>
  </si>
  <si>
    <r>
      <t xml:space="preserve">Inventaire </t>
    </r>
    <r>
      <rPr>
        <b/>
        <sz val="12"/>
        <color theme="1"/>
        <rFont val="Calibri"/>
        <family val="2"/>
        <scheme val="minor"/>
      </rPr>
      <t>(automatique)</t>
    </r>
  </si>
  <si>
    <t>Date d'entrée</t>
  </si>
  <si>
    <t>Min</t>
  </si>
  <si>
    <t>Programe en phase test</t>
  </si>
  <si>
    <t>Max</t>
  </si>
  <si>
    <t>MADAFIT + BNI + BIRA + TSIADANA</t>
  </si>
  <si>
    <t>Article</t>
  </si>
  <si>
    <t>Qtté en entrée</t>
  </si>
  <si>
    <t>Qttée en Sortie</t>
  </si>
  <si>
    <t>STOCK</t>
  </si>
  <si>
    <t>Adapteur prise</t>
  </si>
  <si>
    <t>Batterie HP Probook 450 G2</t>
  </si>
  <si>
    <t>Cable alimentation stantard mila adapteur</t>
  </si>
  <si>
    <t>Câble alimentation trèfle mila adapteur</t>
  </si>
  <si>
    <t>Chargeur laptop ASUS sans adapteur prise</t>
  </si>
  <si>
    <t>Chargeur laptop HP 65W sans câble alim</t>
  </si>
  <si>
    <t>Prise adapteur</t>
  </si>
  <si>
    <t>Prise T</t>
  </si>
  <si>
    <t>Rallonge alimentation 5 métres</t>
  </si>
  <si>
    <t>Rallonge multiple 1mètres 6prises</t>
  </si>
  <si>
    <t>Rallonge multiple alimentation 8p</t>
  </si>
  <si>
    <t>Switch 16 ports D-LINK</t>
  </si>
  <si>
    <t>Switch 8 ports ALPHA NET</t>
  </si>
  <si>
    <t>Switch 8 ports TP-LINK</t>
  </si>
  <si>
    <t>Utilisateurs</t>
  </si>
  <si>
    <t>Prenoms (ID)</t>
  </si>
  <si>
    <t>Administrator</t>
  </si>
  <si>
    <t>Admin (1 )</t>
  </si>
  <si>
    <t>Admin</t>
  </si>
  <si>
    <t>Local</t>
  </si>
  <si>
    <t>RALALA ARISOA Hanitriniaina Christinah</t>
  </si>
  <si>
    <t>ANDOARILALA Ericka</t>
  </si>
  <si>
    <t>ANDONIAINA NIRISOA Salohy Sarobidy</t>
  </si>
  <si>
    <t>QUALITE</t>
  </si>
  <si>
    <t>CENTRE</t>
  </si>
  <si>
    <t>ANDRANDRAINA RAKOTOBE fanohizana</t>
  </si>
  <si>
    <t>Audit CPA</t>
  </si>
  <si>
    <t>AUDIT-CPA</t>
  </si>
  <si>
    <t>ANDREMIARAMANGA  Njatotsimba</t>
  </si>
  <si>
    <t>RECCI / Njato Be</t>
  </si>
  <si>
    <t>BNI2</t>
  </si>
  <si>
    <t>ANDREMIARAMANGA Harinjaka Donat</t>
  </si>
  <si>
    <t>ANDRIAHERITIANA Tojoniaina Paulin</t>
  </si>
  <si>
    <t>ANDRIAMAHEFA Ranjaniaina</t>
  </si>
  <si>
    <t>Exaulia</t>
  </si>
  <si>
    <t>BNI1</t>
  </si>
  <si>
    <t>ANDRIAMAHEFA	Rado Seheno</t>
  </si>
  <si>
    <t>Optique / Sata</t>
  </si>
  <si>
    <t>ANDRIAMALALA Lantoniaina Tatamonirina</t>
  </si>
  <si>
    <t>MADAFIT</t>
  </si>
  <si>
    <t>ANDRIAMAMONJISOA  Hasimbola Falimihamina</t>
  </si>
  <si>
    <t>Cecca rueil</t>
  </si>
  <si>
    <t>ANDRIAMAMONJISOA Tsitohaina Jacky William</t>
  </si>
  <si>
    <t>Jacky (558)</t>
  </si>
  <si>
    <t>ANDRIAMAMONJY Mialisoa Ariniaina</t>
  </si>
  <si>
    <t>ANDRIAMAMPIONONA Hasinjara Fitahiana</t>
  </si>
  <si>
    <t>Accefi</t>
  </si>
  <si>
    <t>ACCEFI</t>
  </si>
  <si>
    <t>ANDRIAMANAMPISOA Onja Caliauta</t>
  </si>
  <si>
    <t>Onja (501 )</t>
  </si>
  <si>
    <t>BIRA</t>
  </si>
  <si>
    <t>ANDRIAMANANTENA  Noella Esther Mbolatiana</t>
  </si>
  <si>
    <t>Comptastar</t>
  </si>
  <si>
    <t>ANDRIAMANANTENA Fanomezantsoa Fitahiana</t>
  </si>
  <si>
    <t>ANDRIAMANANTENA Tsiriniaina</t>
  </si>
  <si>
    <t>Tsiry (511 )</t>
  </si>
  <si>
    <t>ANDRIAMANANTSOA Ericka</t>
  </si>
  <si>
    <t>DIRECTION</t>
  </si>
  <si>
    <t>ANDRIAMANDAY Mirantsoa</t>
  </si>
  <si>
    <t>ANDRIAMANDAY Ny Andoniaina</t>
  </si>
  <si>
    <t>Juridique</t>
  </si>
  <si>
    <t>ANDRIAMANISA Rojotiana</t>
  </si>
  <si>
    <t xml:space="preserve">ANDRIAMANORO Tsiory </t>
  </si>
  <si>
    <t>RUEIL</t>
  </si>
  <si>
    <t>ANDRIAMARITAFIKA Volamiora</t>
  </si>
  <si>
    <t>ANDRIAMBOAVONJY Onitiana Nomenjanahary</t>
  </si>
  <si>
    <t>ANDRIAMBOAVONJY	Miarantsoa</t>
  </si>
  <si>
    <t>ANDRIAMBOLANA Olivia Lidia</t>
  </si>
  <si>
    <t>ANDRIAMIALINARIVO Tsiory Michael</t>
  </si>
  <si>
    <t>Xperia</t>
  </si>
  <si>
    <t>ARSAC</t>
  </si>
  <si>
    <t>ANDRIAMIFIDISON Hardy Georgino</t>
  </si>
  <si>
    <t>Ozeo</t>
  </si>
  <si>
    <t>Centre</t>
  </si>
  <si>
    <t xml:space="preserve">ANDRIAMIHAJA Harinavalona Mijah </t>
  </si>
  <si>
    <t>ECCENTIVE</t>
  </si>
  <si>
    <t>ANDRIAMISANDRATRA Felana</t>
  </si>
  <si>
    <t>Eccentive</t>
  </si>
  <si>
    <t>ANDRIAMORASATA Tiavina Ny Aina</t>
  </si>
  <si>
    <t>COMPTASTAR</t>
  </si>
  <si>
    <t>TSIADANA</t>
  </si>
  <si>
    <t>ANDRIAMPENOMANANA Andry Lalaina</t>
  </si>
  <si>
    <t>ANDRIANAMBININJANAHARY Avotra Tinah</t>
  </si>
  <si>
    <t>RECCI SAV</t>
  </si>
  <si>
    <t>ANDRIANANTENAINA Ando Jedidia</t>
  </si>
  <si>
    <t>ANDRIANANTENAINA Mialiharisoa</t>
  </si>
  <si>
    <t>ANDRIANANTENAINA Rojotiana Cedric</t>
  </si>
  <si>
    <t>Cedric (562)</t>
  </si>
  <si>
    <t>ANDRIANANTOANDRO Henintsoa F.</t>
  </si>
  <si>
    <t>Henintsoa (518 )</t>
  </si>
  <si>
    <t xml:space="preserve">ANDRIANARISATA Faliana Harimiadana </t>
  </si>
  <si>
    <t>ORANOVA</t>
  </si>
  <si>
    <t>ANDRIANARISON Ny Ilo Nantenaina</t>
  </si>
  <si>
    <t>Optique / Mirado</t>
  </si>
  <si>
    <t>ANDRIANARIVELO Misa Manohy Aina</t>
  </si>
  <si>
    <t>DEV</t>
  </si>
  <si>
    <t>ANDRIANARIVO Clet Antonio</t>
  </si>
  <si>
    <t>Clet (201 )</t>
  </si>
  <si>
    <t>ANDRIANASOAVINA Herizo Freddy</t>
  </si>
  <si>
    <t>ANDRIANINTSOA Andry Nantenaina</t>
  </si>
  <si>
    <t>ANDRIANINTSOA Solofonantenaina Miora</t>
  </si>
  <si>
    <t>Miora (289 )</t>
  </si>
  <si>
    <t>Impulsa</t>
  </si>
  <si>
    <t>ANDRIANIRINA Jean Noël</t>
  </si>
  <si>
    <t>ANDRIANJATOVO Nomena Sarobidy</t>
  </si>
  <si>
    <t>RECCI / Lalaina</t>
  </si>
  <si>
    <t>ANDRIANOMENJANAHARY Henintsoa Nadia</t>
  </si>
  <si>
    <t>LMNP</t>
  </si>
  <si>
    <t>ANDRIANORO Sedera Josué</t>
  </si>
  <si>
    <t>ANDRIANOTAHIANA Radonirina</t>
  </si>
  <si>
    <t>ANDRIARINELINA Fandresena Kevin</t>
  </si>
  <si>
    <t>Kevin (815 )</t>
  </si>
  <si>
    <t>AUDIT CPA</t>
  </si>
  <si>
    <t>ANDRIARINORO Miantsa Mamiheriso</t>
  </si>
  <si>
    <t>ANDRIATAHINA Ange Fanomenzantsoa</t>
  </si>
  <si>
    <t>Ange (233 )</t>
  </si>
  <si>
    <t>ANDRIATSILAVO Onjatiana Priscilla</t>
  </si>
  <si>
    <t>ANDRIATSIMA Lalaina Mamiharisoa</t>
  </si>
  <si>
    <t>ANDRITSIVERY Larsene</t>
  </si>
  <si>
    <t>Tsivery (851 )</t>
  </si>
  <si>
    <t>ANJARASOA Fiononana Priscilla</t>
  </si>
  <si>
    <t>Anpasanimalo</t>
  </si>
  <si>
    <t>ANTENAINA BAOIJY Mûrcylla</t>
  </si>
  <si>
    <t>Murcylla (326 )</t>
  </si>
  <si>
    <t>ARIVONJY Fy Ny Aina</t>
  </si>
  <si>
    <t>Info/Data</t>
  </si>
  <si>
    <t>Informatique</t>
  </si>
  <si>
    <t xml:space="preserve">AVOTIANA Arron Shannon </t>
  </si>
  <si>
    <t>AVOTRY NY AINA Rakotoseheno</t>
  </si>
  <si>
    <t>BARINANDRIANINA Mandratosoa</t>
  </si>
  <si>
    <t>BEZAFISON Vavitsara Evah</t>
  </si>
  <si>
    <t>DIARILALAINA Omega</t>
  </si>
  <si>
    <t>ELIE ANNA FREDA RANIRIANARISOA Van Claudia</t>
  </si>
  <si>
    <t>FANOMEZANA Tsinjoarisoa Rina Sandaniaina</t>
  </si>
  <si>
    <t>Ravaka</t>
  </si>
  <si>
    <t>FANOMEZANJANAHARY Andrinirina Hary Navalona</t>
  </si>
  <si>
    <t>Navalona (571)</t>
  </si>
  <si>
    <t>FEHIZOROMALALA Andriananisasoa Jertullin</t>
  </si>
  <si>
    <t>Nanisa (162)</t>
  </si>
  <si>
    <t>COMPTASTAR BIC</t>
  </si>
  <si>
    <t>FENO NY AINA Hasina Rajaona</t>
  </si>
  <si>
    <t>Fenohasina (244 )</t>
  </si>
  <si>
    <t>FENO SARAH</t>
  </si>
  <si>
    <t>FITAHITSILAVINA Evastone Jean Stéphanoel</t>
  </si>
  <si>
    <t>FULGENCE ZAFERA Haritiavina Princia</t>
  </si>
  <si>
    <t>HAINGONIRINA Fitahiantsoa Claudia</t>
  </si>
  <si>
    <t>HAJANIAINA Jean Nico</t>
  </si>
  <si>
    <t>Nico (342 )</t>
  </si>
  <si>
    <t>HANITRINIAINA Narindrasoa Monique</t>
  </si>
  <si>
    <t>HANITRINIAINA	Fanja Arimiora</t>
  </si>
  <si>
    <t>HANTAMALALA Tantelisoa Alexia</t>
  </si>
  <si>
    <t>SOCIAL</t>
  </si>
  <si>
    <t>HANTAVOLOLONA Dollye</t>
  </si>
  <si>
    <t>HARIMIADANA Lalaina</t>
  </si>
  <si>
    <t>HERINIRINA Tahina Mialiarisoa</t>
  </si>
  <si>
    <t>HERY MALALATIANA Mickael</t>
  </si>
  <si>
    <t>HOLIANDRIAMALALA Narindra Kanto Voninkazo</t>
  </si>
  <si>
    <t>IAJAMANANA Eddy Marino</t>
  </si>
  <si>
    <t>PROGEXION</t>
  </si>
  <si>
    <t>Jean MAX</t>
  </si>
  <si>
    <t>JOYICE Brondonne</t>
  </si>
  <si>
    <t>KERSCHEN Noela Elisa</t>
  </si>
  <si>
    <t>LALAOARISOA Landiniaina</t>
  </si>
  <si>
    <t>LANTOMAMPIANDRA Monia</t>
  </si>
  <si>
    <t>MATURA</t>
  </si>
  <si>
    <t>LEMORAINA Andoniaina Francky</t>
  </si>
  <si>
    <t>MAMISOA Véronique</t>
  </si>
  <si>
    <t>MANAMPY Joselli Anne</t>
  </si>
  <si>
    <t>MANARIVO Mamy Yves</t>
  </si>
  <si>
    <t>MANASSE RATSIMANDRESY Andriamirado</t>
  </si>
  <si>
    <t>MANDIMBISOA N. Jeannie E.</t>
  </si>
  <si>
    <t>MARTIN Nandrianina Niry Fanomezana</t>
  </si>
  <si>
    <t>MIARINTSOA Andoniaina Franckie</t>
  </si>
  <si>
    <t>MIOTINIAINA Oceane Alphene</t>
  </si>
  <si>
    <t>MIRANKASINA Ursile Eva</t>
  </si>
  <si>
    <t>Eva (372 )</t>
  </si>
  <si>
    <t>RAMANANTSOA RANTONIAINA Antso Notiavina</t>
  </si>
  <si>
    <t>VONIARISOA Adeline</t>
  </si>
  <si>
    <t>Adeline (1006 )</t>
  </si>
  <si>
    <t>Administration</t>
  </si>
  <si>
    <t>NAMBININTSOA Tafita Oliva</t>
  </si>
  <si>
    <t>Oliva (533 )</t>
  </si>
  <si>
    <t>NIRINA ARIVONY Tojotiana Anthony</t>
  </si>
  <si>
    <t>Anthony (406 )</t>
  </si>
  <si>
    <t>NIRINTSOA ANDRIAMIHAJA Anita</t>
  </si>
  <si>
    <t>ASSOCIATION CPA</t>
  </si>
  <si>
    <t>NIRINTSOA ANDRIAMIHAJA Antonia</t>
  </si>
  <si>
    <t>NIRINTSOA SAMOELINICA Nanah Sidonie</t>
  </si>
  <si>
    <t>NOMENIAVO RANDRIANARIJAONA Ifaliana</t>
  </si>
  <si>
    <t>RANDRIAMAHEFA    Antsaniaina Santatra</t>
  </si>
  <si>
    <t>RATSIMBAZAFY Aina Alain</t>
  </si>
  <si>
    <t>VOLOLONA Bienvennue Alice</t>
  </si>
  <si>
    <t>RAVELOARISON Tantely Nantenaina Alison</t>
  </si>
  <si>
    <t>RANAIVOSON Ambinintsoa Andrinirina</t>
  </si>
  <si>
    <t>Ambinintsoa (443)</t>
  </si>
  <si>
    <t>RALAMBOMANDIMBY Andomalala Antoine</t>
  </si>
  <si>
    <t>RAMASOVELO Andriamalala Patrick</t>
  </si>
  <si>
    <t>Andriamalala (364 )</t>
  </si>
  <si>
    <t>RAVELONJATOVO Rojo Andrianahavalisoa</t>
  </si>
  <si>
    <t>Andrianahavalisoa (555)</t>
  </si>
  <si>
    <t>RANDRIAMANTENA Hary Andry</t>
  </si>
  <si>
    <t>Paie</t>
  </si>
  <si>
    <t>RANDRIAMANANTSOA Radonirina Angelo</t>
  </si>
  <si>
    <t>ND</t>
  </si>
  <si>
    <t>RAKOTOMAMONJY Anja Ny Kanto</t>
  </si>
  <si>
    <t>RAZANAKOTO Anjaniaina</t>
  </si>
  <si>
    <t>OZEO</t>
  </si>
  <si>
    <t>RAHARISON Haja Niony Anjaratiana</t>
  </si>
  <si>
    <t xml:space="preserve">RAZAFINIAINA Anna Pauline </t>
  </si>
  <si>
    <t>FEDIS</t>
  </si>
  <si>
    <t>RAHARIMANANA Annicka</t>
  </si>
  <si>
    <t>RAKOTONANAHARY Anthony Solomalala</t>
  </si>
  <si>
    <t>RAKOTOZAFY Nirina Andriantsilavo Anthony</t>
  </si>
  <si>
    <t>RASOANAIVO Tsitohaina Anthonyo</t>
  </si>
  <si>
    <t>RANDRIAMPARANY Antsa Kerena</t>
  </si>
  <si>
    <t>RANDRIAMANANTENA ANDRIAMBOAVONJY Lahatra Antsiva</t>
  </si>
  <si>
    <t>RASAINARIVO Aricette Sylvanouh</t>
  </si>
  <si>
    <t>RAKOTO ANDRIANALY Arielle</t>
  </si>
  <si>
    <t>Info/Dev</t>
  </si>
  <si>
    <t>RAKOTONIRINA	Hanta Zo ARINALA</t>
  </si>
  <si>
    <t>RATSIMBAZAFY Aris Baholimalala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</si>
  <si>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</si>
  <si>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Arison (896 )</t>
  </si>
  <si>
    <t>RAJAONORO Rindra Tantely Arnauld</t>
  </si>
  <si>
    <t>Arnauld (163 )</t>
  </si>
  <si>
    <t xml:space="preserve">RAKOTONANAHARISON Aro Nambinina </t>
  </si>
  <si>
    <t>RABEARIVELO Arthur Heriniaina</t>
  </si>
  <si>
    <t>RAKOTONANAHARISOA Avotra Diary</t>
  </si>
  <si>
    <t>RANDRIANIRINA Tsirimampionona Jean Bertillon</t>
  </si>
  <si>
    <t>RANDRIAMBELO Mioly Capriathi</t>
  </si>
  <si>
    <t>Capriathi (268)</t>
  </si>
  <si>
    <t>RAMANTOANINA Harisedra Carmel</t>
  </si>
  <si>
    <t>Carmel (574)</t>
  </si>
  <si>
    <t>RAZANDRIZATOVO catinat Marie</t>
  </si>
  <si>
    <t>Catinat (241 )</t>
  </si>
  <si>
    <t>RANDRIANARIVONY Cédric</t>
  </si>
  <si>
    <t>RATSIRASON Domoina Chantal</t>
  </si>
  <si>
    <t>Chantal (314 )</t>
  </si>
  <si>
    <t>RAKOTOARIMALALA Charly</t>
  </si>
  <si>
    <t>RAZAFINDRAMONJA Veloson Christelle</t>
  </si>
  <si>
    <t>RANDRIAMANARIVO Angelinot Jean Christian</t>
  </si>
  <si>
    <t>RIVOHARIMALALA	Nambinitsoa Nadia Colombe</t>
  </si>
  <si>
    <t>RANDRIAMIARAMANANA Rindraniaina Cynthia</t>
  </si>
  <si>
    <t>RANDRIANARIMANANA Fenosoa Daniel</t>
  </si>
  <si>
    <t>RAKOTOMANDIMBY Lalaina Daniela</t>
  </si>
  <si>
    <t>RATSIMBA ANDRIAMBANONA Harinjara Dany</t>
  </si>
  <si>
    <t>RAKOTONIRINA Davidson</t>
  </si>
  <si>
    <t>David (266 )</t>
  </si>
  <si>
    <t>RAHARISON Aina Diamondra Harisata</t>
  </si>
  <si>
    <t>RASOAMIALY Dinah</t>
  </si>
  <si>
    <t>RAKOTOANRIVO Andrianiaina Dinasoa</t>
  </si>
  <si>
    <t xml:space="preserve">RAMIHARIMANANA Rojoniaina Dinasoa </t>
  </si>
  <si>
    <t>RAZAFINDRADIRY Tiandraza Maliotahy Jacques Ella</t>
  </si>
  <si>
    <t>RAZAFIARISOA Landiniaina Domoina</t>
  </si>
  <si>
    <t>RANDRIAMANANANDRO Santatriniaina Domoina</t>
  </si>
  <si>
    <t>SANISPHER</t>
  </si>
  <si>
    <t>SOANOMENY Dorcia Bylla</t>
  </si>
  <si>
    <t>Dorcia (304 )</t>
  </si>
  <si>
    <t>TOLOJANAHARY Nandrianina Elia</t>
  </si>
  <si>
    <t>RAHERISON David Elias</t>
  </si>
  <si>
    <t>RAVOLOLO Hantanirina Chaurcia Elisabelle</t>
  </si>
  <si>
    <t>Ellisabelle (305 )</t>
  </si>
  <si>
    <t>RIVOHERILALA	RADONANTENAINA Eric</t>
  </si>
  <si>
    <t>RAKOTONOMENJANAHARY Erica Davidson</t>
  </si>
  <si>
    <t>Erica (531 )</t>
  </si>
  <si>
    <t>RATEFIARISON Faliniaina</t>
  </si>
  <si>
    <t>RAFENOMANANTSOA Faly</t>
  </si>
  <si>
    <t>RABESON Herilala Fanantenana</t>
  </si>
  <si>
    <t>RECCI</t>
  </si>
  <si>
    <t>RAFANOMEZANTSOA Fanantenana E. D.</t>
  </si>
  <si>
    <t>RARIVOMALALA Nosimanjaka Faneva</t>
  </si>
  <si>
    <t>RASOAFANIRY Viviane M. C.</t>
  </si>
  <si>
    <t>RABENATOANDRO Tolojanahary Fanilo</t>
  </si>
  <si>
    <t>SOLOFOARIMANANA Fanirisoa</t>
  </si>
  <si>
    <t>RANDRIANARIMANANA Ny Aina Faniry</t>
  </si>
  <si>
    <t>RAMBELONOROMANANA  Faniriniaina Michel</t>
  </si>
  <si>
    <t>RAKOTOARIMANANA	Hasina Hajamalala Faniry</t>
  </si>
  <si>
    <t>RAVOLAHANTARIVELO Fanjavololona</t>
  </si>
  <si>
    <t>RAZAFINTSIALONINA Fanomezantsoa Nirina</t>
  </si>
  <si>
    <t>RAFANOMEZANTSOA Avotriniaina Fanomezana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</si>
  <si>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</si>
  <si>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Fanomezantsoa (901 )</t>
  </si>
  <si>
    <t>RAKOTOARISOA Aina Tifanny</t>
  </si>
  <si>
    <t>Felana (373 )</t>
  </si>
  <si>
    <t>RAKOTONJANAHARY Felana Hasinirina</t>
  </si>
  <si>
    <t>RAKOTONDRABE Rantoniaina Fenosoa</t>
  </si>
  <si>
    <t>Feno (379 )</t>
  </si>
  <si>
    <t>RAZAFINDRABE Hanta Ny Aina Fiharisoa</t>
  </si>
  <si>
    <t>VONIARISON R. Finaritra</t>
  </si>
  <si>
    <t>Finaritra (371 )</t>
  </si>
  <si>
    <t>RAZAFIMBELO Nasandratriniaina Finaritra</t>
  </si>
  <si>
    <t>RAFENOMANANTSOA Tolojanahary Finoana</t>
  </si>
  <si>
    <t>NE2C</t>
  </si>
  <si>
    <t>Mpianatra niala</t>
  </si>
  <si>
    <t>Fiononana (846)</t>
  </si>
  <si>
    <t>RAKOTONDRANAIVO Fitiavana</t>
  </si>
  <si>
    <t>RAZAFINIRINA Francia</t>
  </si>
  <si>
    <t>RAMIARAMANANA Francis</t>
  </si>
  <si>
    <t>Francis (84)</t>
  </si>
  <si>
    <t xml:space="preserve">RAMASOAMANDIMBY Finaritriniaina Mireille </t>
  </si>
  <si>
    <t>RAKOTONAIVO Nomena Gabriella</t>
  </si>
  <si>
    <t xml:space="preserve">RANDRIAMPENOMANANA RAKOTONDRATSIMBA Sarobidy Gaêlle </t>
  </si>
  <si>
    <t>RECCI / Daniel</t>
  </si>
  <si>
    <t>RAZAIARIVONY 	A. HANITRINIAINA</t>
  </si>
  <si>
    <t>RABENAIVOSON Ony Hanitriniala</t>
  </si>
  <si>
    <t>AGE CONSEIL</t>
  </si>
  <si>
    <t>RABESON Maheninarinivo Hantamalala</t>
  </si>
  <si>
    <t xml:space="preserve">RAMARIJAONA Ravaka harilala </t>
  </si>
  <si>
    <t>TIIME</t>
  </si>
  <si>
    <t>RAKOTOMANGA Faniriantsoa Harilanto</t>
  </si>
  <si>
    <t>RAHARIMALALA Henintsoa Sarika</t>
  </si>
  <si>
    <t>RAKOTOSALAMA Manitra Hariniaina</t>
  </si>
  <si>
    <t>RATSIMBA Harivony Lovanirina</t>
  </si>
  <si>
    <t>RANDRIANJATOVO Mamy Harimanana</t>
  </si>
  <si>
    <t>RAJAONARIMANANA Hasimbola Tsihoarana</t>
  </si>
  <si>
    <t>Hasimbola (257 )</t>
  </si>
  <si>
    <t>RAVELOMANANTSOA Andrizo Hasinirina</t>
  </si>
  <si>
    <t>ROBERSON Hasina Lalaina</t>
  </si>
  <si>
    <t>RAVERONOMENJANAHARY Hasiniaina</t>
  </si>
  <si>
    <t>Hasiniaina (528 )</t>
  </si>
  <si>
    <t>RANDRIAMIHARISOA Mihaja Hasinjaka</t>
  </si>
  <si>
    <t>RAHARIFENOMANANA Henintsoa</t>
  </si>
  <si>
    <t>RAMIANDRISOA Fanjatiana Herimanana</t>
  </si>
  <si>
    <t>Herimanana (85 )</t>
  </si>
  <si>
    <t>RAVELOMANANTSOA Avotriniaina Herimandimby</t>
  </si>
  <si>
    <t>Herimandimby (335 )</t>
  </si>
  <si>
    <t>RAKOTOARISOA  Heriniaina</t>
  </si>
  <si>
    <t>RAZANADRAKOTO	HERIZO H</t>
  </si>
  <si>
    <t>RASAMOELINA Andrianome Hialimamy</t>
  </si>
  <si>
    <t>Hialimamy (197 )</t>
  </si>
  <si>
    <t>RANDRIANARISON Tojonilaina Hilarion</t>
  </si>
  <si>
    <t>Hilarion (440 )</t>
  </si>
  <si>
    <t>RAJANONARIFETRA Holy Ravaka Ny Aina</t>
  </si>
  <si>
    <t>Holiravaka (355 )</t>
  </si>
  <si>
    <t>RASOARIVELO Nicoline Hortensia</t>
  </si>
  <si>
    <t>RANDRIARISOA Zo Hugues</t>
  </si>
  <si>
    <t>RAHERIMALALA Ialivah Tantely</t>
  </si>
  <si>
    <t>Ialivah (560)</t>
  </si>
  <si>
    <t>RASOLOFOMANANA Ianja Faniry</t>
  </si>
  <si>
    <t>Ianja (393 )</t>
  </si>
  <si>
    <t>RAKOTONDRAINIBE Onintsoa Ianjanirina</t>
  </si>
  <si>
    <t>RANDRIANARIJAONA Iderana Ny Avo</t>
  </si>
  <si>
    <t>RAELISON Irina Oliniaina Nomenjanahary</t>
  </si>
  <si>
    <t>ADV</t>
  </si>
  <si>
    <t>RAVELOSAHA Ismael Haja Nantenaina</t>
  </si>
  <si>
    <t xml:space="preserve">RANJATOHARIBENJA Tsiaro Ivanah </t>
  </si>
  <si>
    <t>SOLOFOMANANIRINA Henintsoa Jacques Noel</t>
  </si>
  <si>
    <t>Jacques (568)</t>
  </si>
  <si>
    <t>ANDRIANHERISOA Jaela Matehotia</t>
  </si>
  <si>
    <t>RABENATOANDRO Jena Nino Abelin</t>
  </si>
  <si>
    <t>Jena Nino Abelin (581 )</t>
  </si>
  <si>
    <t>VOLOLONIARY Andoniaina Jenny</t>
  </si>
  <si>
    <t>Jenny (538 )</t>
  </si>
  <si>
    <t>RANAIVOARISOA Jessica Patricia</t>
  </si>
  <si>
    <t>RAMANITRA Jessica</t>
  </si>
  <si>
    <t>RAKOTONDRAIBE    Zonantenaina Jessy</t>
  </si>
  <si>
    <t>RAHARIMALALA Jocelyne</t>
  </si>
  <si>
    <t>Jocelyne (542 )</t>
  </si>
  <si>
    <t>RADIOMANANA Manitra Jocya</t>
  </si>
  <si>
    <t>Jocya (529 )</t>
  </si>
  <si>
    <t>RAKOTONIRINA Heriniaina John</t>
  </si>
  <si>
    <t>RAJAONARISAONA Antsa</t>
  </si>
  <si>
    <t>Jonas (121 )</t>
  </si>
  <si>
    <t>RANDRIANAIVOSON Tsiferana Jonathan</t>
  </si>
  <si>
    <t>RAKOTOLALAO Tafita Jordy</t>
  </si>
  <si>
    <t>Jordy (550 )</t>
  </si>
  <si>
    <t>RAMORASATA Andry José Eric</t>
  </si>
  <si>
    <t>RAFANOMEZANTSOA	Tinarivony Josue</t>
  </si>
  <si>
    <t>RASOARIMANANA Miantsa Sylvie Jouannah</t>
  </si>
  <si>
    <t>RANDRIAMIZAKA Judica</t>
  </si>
  <si>
    <t xml:space="preserve">RANDRIANIRINA Judith </t>
  </si>
  <si>
    <t>RANDRIAMBOLOLONA Julio</t>
  </si>
  <si>
    <t>RASOANAIVO Kanto Muriel</t>
  </si>
  <si>
    <t xml:space="preserve">RAKOTOARIVONY Kanto Ravo Lalaina </t>
  </si>
  <si>
    <t>RECCI SGDB</t>
  </si>
  <si>
    <t>RAFIRINGA Katia Lisa</t>
  </si>
  <si>
    <t>RAKOTOMALALA Dina Fitiavana Koloina</t>
  </si>
  <si>
    <t>SANDRIO KWAC SON Etan</t>
  </si>
  <si>
    <t>Stagiaire</t>
  </si>
  <si>
    <t>LYFR</t>
  </si>
  <si>
    <t>RAMANANDRAISOA Henriette Laetitia</t>
  </si>
  <si>
    <t>RANDRIANANTENAINA Mamy Lahatra</t>
  </si>
  <si>
    <t>RAMAHEFARISON Lova</t>
  </si>
  <si>
    <t>Lalaina (132 )</t>
  </si>
  <si>
    <t>RANDRIANANTENAINA Lalaina Olivier</t>
  </si>
  <si>
    <t>RAVEROSOA	LALATIANA</t>
  </si>
  <si>
    <t>RAHARY Landry</t>
  </si>
  <si>
    <t>KOZE</t>
  </si>
  <si>
    <t>RAKOTOARISOA Lanja Ny Andrianina Fifaliana</t>
  </si>
  <si>
    <r>
      <t>LANJA</t>
    </r>
    <r>
      <rPr>
        <sz val="11"/>
        <rFont val="Calibri"/>
        <family val="2"/>
      </rPr>
      <t xml:space="preserve">NIAINA Sarobidy Andriamantena </t>
    </r>
  </si>
  <si>
    <t>Lanja (902 )</t>
  </si>
  <si>
    <t>RAMAHERISOLONARIVO Mirafanomezantsoa Larissa</t>
  </si>
  <si>
    <t>RASANTATRINIAINA Tiavina Larissa</t>
  </si>
  <si>
    <t>RAKOTOARIMALALA Laza Dimby Ny Aina</t>
  </si>
  <si>
    <t>RAHARISON LEE Soloheriniaina</t>
  </si>
  <si>
    <t>Lee (337 )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</si>
  <si>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</si>
  <si>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Liana (898 )</t>
  </si>
  <si>
    <t>RAZAFINDRAMANANA Nirina Liliane</t>
  </si>
  <si>
    <t>RAOLISON Ny Andry Mahery Tiana Lita</t>
  </si>
  <si>
    <t>RAMINOSOA   Lova</t>
  </si>
  <si>
    <t>RAZAFY ANDRIANAJAINA Lovaniaina</t>
  </si>
  <si>
    <t>Lovaniaina (564)</t>
  </si>
  <si>
    <t xml:space="preserve">RANAIVOSON Mbolanirina jean Luc </t>
  </si>
  <si>
    <t>RANDRIANINA Teddy Luca</t>
  </si>
  <si>
    <t>Luca (512 )</t>
  </si>
  <si>
    <t>RAKOTOMALALA Fy Lucia</t>
  </si>
  <si>
    <t>Lucia (563)</t>
  </si>
  <si>
    <t>RAKOTONIAINA Luciana</t>
  </si>
  <si>
    <t>RANAIVO	LUCIEN Jean Claude</t>
  </si>
  <si>
    <t>RAZANAMAVO Lydie Eldine</t>
  </si>
  <si>
    <t>RAKOTONJANAHARY Maevatiana</t>
  </si>
  <si>
    <t>RATOKONDRATSIMBARIJAONAMiharamafinaritra</t>
  </si>
  <si>
    <t>RAMANDIMBIARIMALALA Mahandry Valisoa Tsanta</t>
  </si>
  <si>
    <t>Mahandry  (433 )</t>
  </si>
  <si>
    <t>RANDRIARIMANANA Aina Mahefatiana</t>
  </si>
  <si>
    <t>Info</t>
  </si>
  <si>
    <t>ROBIMIARASOA Dimby Andriamahenina</t>
  </si>
  <si>
    <t xml:space="preserve">RANDRIAMANALINA Mahenintsoa Volatiana Elysa </t>
  </si>
  <si>
    <t>EXAULIA</t>
  </si>
  <si>
    <t>RATEFIARISON Maherisoa Olivah</t>
  </si>
  <si>
    <t>RATSIMANDRESY Mahery Lala</t>
  </si>
  <si>
    <t>RAVELOMANANTSOA Haingomalala</t>
  </si>
  <si>
    <t>RAKOTOARISON Malalaniaina Graziellina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</si>
  <si>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</si>
  <si>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Maminiaina (900 )</t>
  </si>
  <si>
    <t>RANDRIAMAHAFALY Mamitiana</t>
  </si>
  <si>
    <t>Mamitiana (812 )</t>
  </si>
  <si>
    <t>RANDRIANASY Volamampionona Onja</t>
  </si>
  <si>
    <t>RAKOTOARIMALALA Mamy Niriana</t>
  </si>
  <si>
    <t>Cecca etoile</t>
  </si>
  <si>
    <t>RAFAMANTANANTSOA Mamy Tantely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</si>
  <si>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</si>
  <si>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Mananjara (899 )</t>
  </si>
  <si>
    <t>RAKOTOHERINTSAINA Njiva Mandimby Adele</t>
  </si>
  <si>
    <t>RAHARIMANITRA Halimi</t>
  </si>
  <si>
    <t>RAKOTOARISOA Manjaka</t>
  </si>
  <si>
    <t>Manjaka (553)</t>
  </si>
  <si>
    <t>RAVALOMANANA Tolotriniaina Marcel</t>
  </si>
  <si>
    <t>RALAITSIROFO Tiavina Marinah</t>
  </si>
  <si>
    <t>RAZEFARISON Alain Mario</t>
  </si>
  <si>
    <t>RABEARIVOLA Tsihoarana Matthias</t>
  </si>
  <si>
    <t>AMBININTSOA Voahasina Mbolatiana</t>
  </si>
  <si>
    <t>Mbolatiana (400 )</t>
  </si>
  <si>
    <t>RAKOTOARISON Anjara Mendrika</t>
  </si>
  <si>
    <t>RAZANADRAKOTO Herimanana N. Mendrika</t>
  </si>
  <si>
    <t>RATSITOHAINA	Ranjalisy Miora</t>
  </si>
  <si>
    <t>Axa</t>
  </si>
  <si>
    <t>ANDRIANARIVELO Mialy Kaloina</t>
  </si>
  <si>
    <t>Mialy (872 )</t>
  </si>
  <si>
    <t>Optique</t>
  </si>
  <si>
    <t>RAZAKAHARISOA Miandra Aina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</si>
  <si>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</si>
  <si>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Miarasitraka (903 )</t>
  </si>
  <si>
    <t>RAZAFIALISON HENINTSOA   Michael</t>
  </si>
  <si>
    <t>RANDRIANJAFY Nambinintsoa Mickael</t>
  </si>
  <si>
    <t>RANDRIAMIADAMANANA Mihariharena Heriniaina</t>
  </si>
  <si>
    <t>RAKOTONDRAMANANA Miaritiana</t>
  </si>
  <si>
    <t>RAZAFINANAHARY Mikajy Ny Hanitra</t>
  </si>
  <si>
    <t>Mikajy (407 )</t>
  </si>
  <si>
    <t>RASOLOFONIAINA Tinasoa Miknea Njarasoa</t>
  </si>
  <si>
    <t>RATOVOMIALISOA Miora Mbolatiavina</t>
  </si>
  <si>
    <t>Miora (319 )</t>
  </si>
  <si>
    <t>RANDRIANOMANANA Miora Vatosoa Ericka</t>
  </si>
  <si>
    <t>XPERIA</t>
  </si>
  <si>
    <t>RAVAKINIAINA Voalinirina Miora</t>
  </si>
  <si>
    <t>Miora (540 )</t>
  </si>
  <si>
    <t>RASOLOFONJATOVONIRINA Andriamalala Mioraniaina</t>
  </si>
  <si>
    <t>RASOARIVONY Mira Anica</t>
  </si>
  <si>
    <t xml:space="preserve">RANDRIANANDRASANA Mirasoa Elia </t>
  </si>
  <si>
    <t>RAVELOZAFY Henintsoa Mirella</t>
  </si>
  <si>
    <t>RAZAFINDRABE  Mirindra</t>
  </si>
  <si>
    <t>AF</t>
  </si>
  <si>
    <t>RAKOTONDRAMBOA Albert Mita</t>
  </si>
  <si>
    <t>RAVELONALIMANANA Mitia Harivony</t>
  </si>
  <si>
    <t>RIVOANDRIANINA Juanita Gualbert Moreno Onimpara</t>
  </si>
  <si>
    <t>RAELISON Tahiana Nadia Murielle</t>
  </si>
  <si>
    <t>Murielle (418 )</t>
  </si>
  <si>
    <t>RANDRIANOMENJANAHARY Nadia</t>
  </si>
  <si>
    <t>VONITSARA Antenaina Nadie</t>
  </si>
  <si>
    <t>Nadie (219 )</t>
  </si>
  <si>
    <t>TOLOJANAHARY Nambinintsoa Olivia</t>
  </si>
  <si>
    <t>RANDRIANANDRASANA Niriantsoa Rova</t>
  </si>
  <si>
    <t>Nandrasana (573)</t>
  </si>
  <si>
    <t>RAKOTOMALALA Larissa Nandrianina</t>
  </si>
  <si>
    <t>RAKOTOARIVELO Nantenaina Falinirina</t>
  </si>
  <si>
    <t>RATSIMBAZAFY Kantonantenaina Stephanie</t>
  </si>
  <si>
    <t>VOAHANGINOROMALALA Naomy Lovasoa</t>
  </si>
  <si>
    <t>RATSIMBAZAFY Narindra Ny Antsa Fanantenana</t>
  </si>
  <si>
    <t>RAMANANTOANINA Niriaina Natacha</t>
  </si>
  <si>
    <t>RANAIVOSON NATIORA Fifalinamaharavo</t>
  </si>
  <si>
    <t>Natiora (356 )</t>
  </si>
  <si>
    <t>SOARAY Jenny Nicia</t>
  </si>
  <si>
    <t>Nicia (549 )</t>
  </si>
  <si>
    <t>SAFIDIHARISOA Rojo Nihasina</t>
  </si>
  <si>
    <t>RATSIARO Niony Faniry</t>
  </si>
  <si>
    <t>RAZAFINTSALAMA      Fanomezantsoa Ainanirina</t>
  </si>
  <si>
    <t>RAVELOSON Tiavina Nirintsoa</t>
  </si>
  <si>
    <t>RAKOTONANDRASANA H. J. Nissen</t>
  </si>
  <si>
    <t>RANDRIAMANALINA Njaka Hery Nirina</t>
  </si>
  <si>
    <t>RAJAONARISON	Njaratiana Michaella</t>
  </si>
  <si>
    <t>RAZAKAMIANDRA Njaraniaina</t>
  </si>
  <si>
    <t>RANDRIANJATOSOA Haja Lalaina</t>
  </si>
  <si>
    <t>RAMANANTSALAMA  Njiva Nantenaina</t>
  </si>
  <si>
    <t>RAKOTOARISOA Sitraka Nokoloina</t>
  </si>
  <si>
    <t>Nokoloina (572)</t>
  </si>
  <si>
    <t>RATOVOHARIMALALA Nomenjanahary Rondro Fitahiana</t>
  </si>
  <si>
    <t>RATIANANAHARISON Nomentsoa Maminirina</t>
  </si>
  <si>
    <t>RAKOTOMALALA Ny Avo Mionona</t>
  </si>
  <si>
    <t>RATSIMANDRAVASOA Mahandry Hanitra Ny Avo</t>
  </si>
  <si>
    <t>RANJATOARIMANANA Tamby Ny Ela</t>
  </si>
  <si>
    <t>RSOLOFOARIVELO Ny Volana Diamondra</t>
  </si>
  <si>
    <t>NY AINA NOMENA Fanantenana</t>
  </si>
  <si>
    <t>TSIRODONY Tony odilon</t>
  </si>
  <si>
    <t>RANDRIANAIVO Lalasoa Ando Oliva</t>
  </si>
  <si>
    <t>Oliva _C (551 )</t>
  </si>
  <si>
    <t>RAZAKA Olivia Finaritra</t>
  </si>
  <si>
    <t>RAHARIMIHAJANIAINA Olivia</t>
  </si>
  <si>
    <t>RATOLOJANAHARY Santatra Onintsoa</t>
  </si>
  <si>
    <t>ZARAHERINIAINA Onisoa Faneva</t>
  </si>
  <si>
    <t>RAMAROJAONA Tina Onisoa</t>
  </si>
  <si>
    <t>RAHARINJANAHARY Herisoa Onja Lalaina</t>
  </si>
  <si>
    <t>RAJAONORO Kantolalaina Iaris Orlando</t>
  </si>
  <si>
    <t>RAHARISON Ornella Arivony</t>
  </si>
  <si>
    <t>Ornella (343 )</t>
  </si>
  <si>
    <t>RAVOMANANA Tovonirina Paquerette</t>
  </si>
  <si>
    <t>RAVELONATOANDRO   Marielle Patricia</t>
  </si>
  <si>
    <t>RAKOTOARIVELO Andoniaina Princia</t>
  </si>
  <si>
    <t xml:space="preserve">RAJOELINA Sandratra Aina Nomena </t>
  </si>
  <si>
    <t>RAMAROLAHY Ranja Lalaina</t>
  </si>
  <si>
    <t>Ranja Lalaina (809 )</t>
  </si>
  <si>
    <t>RAKOTOMANGA Ravaka</t>
  </si>
  <si>
    <t>RATEFIARISON Ravoniaina Nambinintsoa</t>
  </si>
  <si>
    <t>RAHERINJARATIANA Riantsoa</t>
  </si>
  <si>
    <t>RAKOTOARIMANANA Hasina Rijaniaina</t>
  </si>
  <si>
    <t>Rija</t>
  </si>
  <si>
    <t>RAHARINIRINA Nambinintsoa Avotra</t>
  </si>
  <si>
    <t>SETRAHARILALA Rinah</t>
  </si>
  <si>
    <t>RAHARISON Rindraniaina Mbolatiana</t>
  </si>
  <si>
    <t>RAMBELONIRINA Monia</t>
  </si>
  <si>
    <t>ADMIN</t>
  </si>
  <si>
    <t>RAJAONARISON Nomenjanahary Rojonirina Rità</t>
  </si>
  <si>
    <t>RAKOTONDRABAKO 	RIVOTIANA</t>
  </si>
  <si>
    <t>RAHOLIHARINJATO Rojovola</t>
  </si>
  <si>
    <t>RANDRIARITSIPY Rosario Mickaël</t>
  </si>
  <si>
    <t>RATIARISON Rotsiniaina Nanja</t>
  </si>
  <si>
    <t>RAMANDIAMANANA Rovahasina</t>
  </si>
  <si>
    <t>RASOLOFOHERINJATOVO Rovasoa Aina Kanto</t>
  </si>
  <si>
    <t>RABELAFY RAZAFINDRAKOTO Sambatra Roxanne</t>
  </si>
  <si>
    <t>RANDRIAMPENOMANANA Ruddy Angelo Kevin</t>
  </si>
  <si>
    <t>Ruddy (213 )</t>
  </si>
  <si>
    <t>RAKOTOVAO Haigoniaina Eugenie Sabine</t>
  </si>
  <si>
    <t>RANIRINARILALA Aina Safidy</t>
  </si>
  <si>
    <t>RAKOTONDRABE Safidy Fitiavana</t>
  </si>
  <si>
    <t>RAZAIARIMALALA Herimanana Sahoby</t>
  </si>
  <si>
    <t>Sahoby (810 )</t>
  </si>
  <si>
    <t>RAKOTOARIVELO Ainamahonontsoa Sampaniony</t>
  </si>
  <si>
    <t>SAMSON Razafintsoa Tojonirina</t>
  </si>
  <si>
    <t>Aprrenti</t>
  </si>
  <si>
    <t>MIRANTSOA Tokiniaina Sandra</t>
  </si>
  <si>
    <t>RANDRIAMANANA Sandratra Tojosoa</t>
  </si>
  <si>
    <t>Sandratra (187 )</t>
  </si>
  <si>
    <t>RANDRIANAHARIVELO Hasina Sandra</t>
  </si>
  <si>
    <t>RABE Tojo Santatra Antonio</t>
  </si>
  <si>
    <t>Santatra (369 )</t>
  </si>
  <si>
    <t>RAZAKA Tolojanahary Santatraniaina</t>
  </si>
  <si>
    <t>Santatra (539 )</t>
  </si>
  <si>
    <t>RAZAFINDRAIBE Sendraniaina Sarah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</si>
  <si>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</si>
  <si>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Sarah (897 )</t>
  </si>
  <si>
    <t>RANDRIAMIHANTA  Sarika Henitsoa</t>
  </si>
  <si>
    <t>Sarika (28 )</t>
  </si>
  <si>
    <t>RAKOTONIRINA	Sata Rijatiana</t>
  </si>
  <si>
    <t>RAHARISOA Lalao Seheno</t>
  </si>
  <si>
    <t>RATINARIVELO Seheno</t>
  </si>
  <si>
    <t>RAHARIFENOMANANA  Heri-Setra</t>
  </si>
  <si>
    <t>RAKOTOHARIMANITRA SITRAKA</t>
  </si>
  <si>
    <t>Sissi (32 )</t>
  </si>
  <si>
    <t>BN1</t>
  </si>
  <si>
    <t>RAVELONALIMANANA Solofo Sisia</t>
  </si>
  <si>
    <t>C4U</t>
  </si>
  <si>
    <t>RAVALITERA Sitraka</t>
  </si>
  <si>
    <t>Sitraka (49 )</t>
  </si>
  <si>
    <t>RAHERIVELO Soja Nantenaina</t>
  </si>
  <si>
    <t>JEAN CLAUDE RAKOTOASIMBOLA Soloniaina</t>
  </si>
  <si>
    <t>Solo (870 )</t>
  </si>
  <si>
    <t>RAZANAJOVY RAHARISOLO Solofonirina</t>
  </si>
  <si>
    <t>RAZAFITSIALONINA Solohery Naritiana</t>
  </si>
  <si>
    <t>RABENJARISON A. Steeve</t>
  </si>
  <si>
    <t xml:space="preserve">RAKOTOARIVELO Stéphan Nicolas </t>
  </si>
  <si>
    <t>Stock (TSIADANA_RFC)</t>
  </si>
  <si>
    <t>RAKOTOARISOA Orimbato Sylvano</t>
  </si>
  <si>
    <t>RASOLOFODERA Tolotriniaina Sylvianne</t>
  </si>
  <si>
    <t>TAHINJANAHARY Mendrika Niaina</t>
  </si>
  <si>
    <t>RATSIMBAZAFY Jeanine Hariniaina</t>
  </si>
  <si>
    <t>RAKOTONANDRASANA Tahina Andriantsoa</t>
  </si>
  <si>
    <t>Tahina (16 )</t>
  </si>
  <si>
    <t>RALOVASOA Tahirilalaina</t>
  </si>
  <si>
    <t>RAMANITRARIVO Talbot Onja Hariliva</t>
  </si>
  <si>
    <t>Talbot (913 )</t>
  </si>
  <si>
    <t>RANDRIANAIVO Tanjoniaina</t>
  </si>
  <si>
    <t>Tanjona (234 )</t>
  </si>
  <si>
    <t>RAZAFINIMANANA Arinala Tanteraka</t>
  </si>
  <si>
    <t>RAKOTOMAVO Teddy Miarana</t>
  </si>
  <si>
    <t>RATIARIVELO MAMINANTENAINA Tiavina</t>
  </si>
  <si>
    <t>RAZAIMIHAMINA Mbolatiana</t>
  </si>
  <si>
    <t>RASOLOHERITIANA S. Iantena</t>
  </si>
  <si>
    <t>RABEMANATSOA Noro Miantsa Tiffany</t>
  </si>
  <si>
    <t>Tiffany (567)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</si>
  <si>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</si>
  <si>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Tinah (888 )</t>
  </si>
  <si>
    <t>RAVALISON Toavina Hasintsoa</t>
  </si>
  <si>
    <t>Toavina (345 )</t>
  </si>
  <si>
    <t>TODISOA Nasandratra</t>
  </si>
  <si>
    <t>RAKOTONIRAINY   Tojonirina</t>
  </si>
  <si>
    <t>Tojo  (33 )</t>
  </si>
  <si>
    <t>RAKOTONINDRINA Tokiniaina</t>
  </si>
  <si>
    <t>RAKOTONDRASOA Tsanta niaina Fehizoro</t>
  </si>
  <si>
    <t xml:space="preserve">RAZAFIMAHAZO Habakinihasimanitra Tsihoarana </t>
  </si>
  <si>
    <t>RAJAONARIMISA Hasina Andriatsilavo</t>
  </si>
  <si>
    <t xml:space="preserve">RAKOTONARIVO Tsilavony Aina </t>
  </si>
  <si>
    <t>RANDRIAMIANDRA Onjeva Tsimiofo</t>
  </si>
  <si>
    <t>RANDRIANASOLO Nirina Tsinjo</t>
  </si>
  <si>
    <t>RALIMANAA Tsinjonavalona</t>
  </si>
  <si>
    <t>Stagiare</t>
  </si>
  <si>
    <t>RATIANARIVO Tsiory Edouard Cedric</t>
  </si>
  <si>
    <t>Tsiory (381 )</t>
  </si>
  <si>
    <t>RAZAFINIMANANA Tsiorinirina</t>
  </si>
  <si>
    <t>RABEARIVELO Tsiry Fanomezana</t>
  </si>
  <si>
    <t>RANDRIAMBOLOLONA Hanintsoa</t>
  </si>
  <si>
    <t>RANARISON Faniriniaina Diary Henintsoa</t>
  </si>
  <si>
    <t>RAOLISON Valiha Andrianina</t>
  </si>
  <si>
    <t>RATSISAMPONANA Valisoa</t>
  </si>
  <si>
    <t>Valisoa (523 )</t>
  </si>
  <si>
    <t>RAKOTOARIVONY Velonarivo Diamondra Fitiavana</t>
  </si>
  <si>
    <t>RAHARIMANANA Velotahiana</t>
  </si>
  <si>
    <t>Velotahiana (424 )</t>
  </si>
  <si>
    <t>RAKOTOMALALA H. M. Veronique</t>
  </si>
  <si>
    <t>RAZAFITSALAMA Vola nambinina</t>
  </si>
  <si>
    <t>RAVAONARIMALALA Volana Harinoro Claire</t>
  </si>
  <si>
    <t>RANDRIANARIMANTSOA Volana Nandrianina</t>
  </si>
  <si>
    <t>RAHANITRINIAINA Vola Tantely</t>
  </si>
  <si>
    <t>RASOARILANTO Vony Fanja</t>
  </si>
  <si>
    <t>ROTSITIANA Youlah Naval</t>
  </si>
  <si>
    <t>RASOLOFOMANANA Andriamanantena Rolland Herizo</t>
  </si>
  <si>
    <t>ANDRIAMASINORO Zo Heritiana Lalaina</t>
  </si>
  <si>
    <t>RASAMIMANANA   Zolinirina Haingomanitra</t>
  </si>
  <si>
    <t>RAKOTOARIMANANA  Andriamanalina Bezavana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</si>
</sst>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9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5" borderId="0" xfId="0" applyNumberForma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right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7" fillId="0" borderId="0" xfId="0" applyFont="1" applyAlignment="1">
      <alignment wrapText="1"/>
    </xf>
    <xf numFmtId="0" fontId="0" fillId="0" borderId="0" xfId="0" applyNumberFormat="1"/>
    <xf numFmtId="14" fontId="0" fillId="0" borderId="0" xfId="1" applyNumberFormat="1" applyFont="1"/>
    <xf numFmtId="165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14" fontId="9" fillId="0" borderId="7" xfId="0" applyNumberFormat="1" applyFont="1" applyFill="1" applyBorder="1" applyAlignment="1"/>
    <xf numFmtId="14" fontId="9" fillId="0" borderId="8" xfId="0" applyNumberFormat="1" applyFont="1" applyFill="1" applyBorder="1" applyAlignment="1"/>
    <xf numFmtId="0" fontId="0" fillId="0" borderId="0" xfId="0" applyAlignment="1">
      <alignment horizontal="left" wrapText="1"/>
    </xf>
    <xf numFmtId="0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4" fontId="9" fillId="0" borderId="0" xfId="0" applyNumberFormat="1" applyFont="1" applyFill="1" applyBorder="1" applyAlignment="1"/>
    <xf numFmtId="14" fontId="0" fillId="0" borderId="7" xfId="0" applyNumberFormat="1" applyBorder="1"/>
    <xf numFmtId="14" fontId="0" fillId="0" borderId="8" xfId="0" applyNumberFormat="1" applyBorder="1"/>
    <xf numFmtId="14" fontId="13" fillId="0" borderId="0" xfId="0" applyNumberFormat="1" applyFont="1" applyFill="1" applyBorder="1" applyAlignment="1"/>
    <xf numFmtId="14" fontId="0" fillId="0" borderId="0" xfId="0" applyNumberFormat="1" applyBorder="1"/>
    <xf numFmtId="14" fontId="0" fillId="0" borderId="9" xfId="0" applyNumberFormat="1" applyBorder="1"/>
    <xf numFmtId="0" fontId="0" fillId="9" borderId="0" xfId="0" applyFill="1"/>
    <xf numFmtId="0" fontId="0" fillId="2" borderId="0" xfId="0" applyFill="1" applyAlignment="1">
      <alignment wrapText="1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NumberFormat="1" applyFill="1"/>
    <xf numFmtId="0" fontId="0" fillId="0" borderId="0" xfId="0" applyFill="1" applyAlignment="1">
      <alignment horizontal="center"/>
    </xf>
    <xf numFmtId="0" fontId="0" fillId="10" borderId="0" xfId="0" applyFill="1"/>
    <xf numFmtId="14" fontId="9" fillId="8" borderId="0" xfId="0" applyNumberFormat="1" applyFont="1" applyFill="1" applyBorder="1" applyAlignment="1"/>
    <xf numFmtId="14" fontId="0" fillId="7" borderId="0" xfId="0" applyNumberFormat="1" applyFill="1" applyBorder="1"/>
    <xf numFmtId="14" fontId="0" fillId="0" borderId="0" xfId="0" applyNumberFormat="1" applyAlignment="1">
      <alignment wrapText="1"/>
    </xf>
    <xf numFmtId="0" fontId="0" fillId="0" borderId="0" xfId="0" applyFill="1"/>
    <xf numFmtId="0" fontId="14" fillId="0" borderId="0" xfId="0" applyFont="1" applyFill="1" applyBorder="1" applyAlignment="1"/>
    <xf numFmtId="0" fontId="0" fillId="0" borderId="8" xfId="0" applyBorder="1"/>
    <xf numFmtId="0" fontId="0" fillId="0" borderId="9" xfId="0" applyBorder="1"/>
    <xf numFmtId="0" fontId="15" fillId="0" borderId="0" xfId="0" applyFont="1" applyFill="1" applyBorder="1" applyAlignment="1"/>
    <xf numFmtId="0" fontId="0" fillId="0" borderId="7" xfId="0" applyBorder="1"/>
    <xf numFmtId="0" fontId="1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2">
    <cellStyle name="Milliers" xfId="1" builtinId="3"/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7" name="Tableau68" displayName="Tableau68" ref="A2:M214" totalsRowShown="0" headerRowDxfId="38">
  <autoFilter ref="A2:M214">
    <filterColumn colId="1">
      <filters>
        <filter val="Batterie PC"/>
      </filters>
    </filterColumn>
  </autoFilter>
  <sortState ref="A3:M195">
    <sortCondition ref="A2:A195"/>
  </sortState>
  <tableColumns count="13">
    <tableColumn id="1" name="Date d entree"/>
    <tableColumn id="3" name="Designation de l article" dataDxfId="37"/>
    <tableColumn id="4" name="Qtté"/>
    <tableColumn id="5" name="Unité"/>
    <tableColumn id="15" name="CABINET_P"/>
    <tableColumn id="16" name="Serial Number"/>
    <tableColumn id="7" name="Utilisateur prevu"/>
    <tableColumn id="2" name="Equipe" dataDxfId="36">
      <calculatedColumnFormula>VLOOKUP(Tableau68[[#This Row],[Utilisateur prevu]],Tableau3[[Prenoms (ID)]:[CABINET]],2,FALSE)</calculatedColumnFormula>
    </tableColumn>
    <tableColumn id="6" name="Localisation" dataDxfId="35">
      <calculatedColumnFormula>VLOOKUP(Tableau68[[#This Row],[Utilisateur prevu]],Tableau3[[Prenoms (ID)]:[CABINET]],3,FALSE)</calculatedColumnFormula>
    </tableColumn>
    <tableColumn id="8" name="CABINET" dataDxfId="34">
      <calculatedColumnFormula>VLOOKUP(Tableau68[[#This Row],[Utilisateur prevu]],Tableau3[[Prenoms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1" name="Tableau6" displayName="Tableau6" ref="A2:M41" totalsRowShown="0" headerRowDxfId="32">
  <autoFilter ref="A2:M41"/>
  <sortState ref="A3:M38">
    <sortCondition ref="A2:A38"/>
  </sortState>
  <tableColumns count="13">
    <tableColumn id="1" name="Date d entree"/>
    <tableColumn id="3" name="Designation de l article" dataDxfId="31"/>
    <tableColumn id="4" name="Qtté"/>
    <tableColumn id="5" name="Unité"/>
    <tableColumn id="15" name="Marque"/>
    <tableColumn id="16" name="Serial Number"/>
    <tableColumn id="7" name="Utilisateur"/>
    <tableColumn id="2" name="Equipe" dataDxfId="30">
      <calculatedColumnFormula>VLOOKUP(Tableau6[[#This Row],[Utilisateur]],Tableau3[[Prenoms (ID)]:[CABINET]],2,FALSE)</calculatedColumnFormula>
    </tableColumn>
    <tableColumn id="6" name="Localisation" dataDxfId="29">
      <calculatedColumnFormula>VLOOKUP(Tableau6[[#This Row],[Utilisateur]],Tableau3[[Prenoms (ID)]:[CABINET]],3,FALSE)</calculatedColumnFormula>
    </tableColumn>
    <tableColumn id="8" name="CABINET" dataDxfId="28">
      <calculatedColumnFormula>VLOOKUP(Tableau6[[#This Row],[Utilisateur]],Tableau3[[Prenoms (ID)]:[CABINET]],4,FALSE)</calculatedColumnFormula>
    </tableColumn>
    <tableColumn id="9" name="Responsable"/>
    <tableColumn id="10" name="Livraison interne?"/>
    <tableColumn id="13" name="Rémarque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id="4" name="Tableau65" displayName="Tableau65" ref="A2:M973" totalsRowShown="0" headerRowDxfId="26">
  <autoFilter ref="A2:M973"/>
  <sortState ref="A3:M768">
    <sortCondition ref="A2:A768"/>
  </sortState>
  <tableColumns count="13">
    <tableColumn id="1" name="Date de sortie" dataDxfId="25"/>
    <tableColumn id="3" name="Designation de l article"/>
    <tableColumn id="4" name="Qtté" dataDxfId="24"/>
    <tableColumn id="5" name="Unité"/>
    <tableColumn id="15" name="Remarques"/>
    <tableColumn id="16" name="Serial Number"/>
    <tableColumn id="7" name="Utilisateur"/>
    <tableColumn id="2" name="Equipe" dataDxfId="23">
      <calculatedColumnFormula>VLOOKUP(Tableau65[[#This Row],[Utilisateur]],Tableau3[[Prenoms (ID)]:[Localisation]],2,FALSE)</calculatedColumnFormula>
    </tableColumn>
    <tableColumn id="6" name="Emplacement" dataDxfId="22">
      <calculatedColumnFormula>VLOOKUP(Tableau65[[#This Row],[Utilisateur]],Tableau3[[Prenoms (ID)]:[Localisation]],3,FALSE)</calculatedColumnFormula>
    </tableColumn>
    <tableColumn id="8" name="CABINET" dataDxfId="21">
      <calculatedColumnFormula>VLOOKUP(Tableau65[[#This Row],[Utilisateur]],Tableau3[[Prenoms (ID)]:[CABINET]],4,FALSE)</calculatedColumnFormula>
    </tableColumn>
    <tableColumn id="9" name="Responsable"/>
    <tableColumn id="10" name="Livraison interne"/>
    <tableColumn id="13" name="Rémarque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id="6" name="Tableau7" displayName="Tableau7" ref="A6:E34" totalsRowShown="0" headerRowDxfId="12">
  <autoFilter ref="A6:E34"/>
  <sortState ref="A7:E34">
    <sortCondition ref="A6:A34"/>
  </sortState>
  <tableColumns count="5">
    <tableColumn id="1" name="Article"/>
    <tableColumn id="2" name="Unité"/>
    <tableColumn id="3" name="Qtté en entrée" dataDxfId="11">
      <calculatedColumnFormula>SUMIFS(Tableau6[Qtté],Tableau6[Designation de l article],Tableau7[[#This Row],[Article]],Tableau6[Utilisateur],"*MADAFIT*",Tableau6[Date d entree],"&gt;="&amp;date_min_entree,Tableau6[Date d entree],"&lt;="&amp;date_max_entree)</calculatedColumnFormula>
    </tableColumn>
    <tableColumn id="4" name="Qttée en Sortie" dataDxfId="10">
      <calculatedColumnFormula>SUMIFS(Tableau65[Qtté],Tableau65[Designation de l article],Tableau7[[#This Row],[Article]],Tableau65[Livraison interne],"&lt;&gt;oui",Tableau65[Date de sortie],"&gt;="&amp;date_min_sortie,Tableau65[Date de sortie],"&lt;="&amp;date_max_sortie)</calculatedColumnFormula>
    </tableColumn>
    <tableColumn id="5" name="STOCK" dataDxfId="9">
      <calculatedColumnFormula>Tableau7[[#This Row],[Qtté en entrée]]-Tableau7[[#This Row],[Qttée en Sortie]]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3" name="Tableau3" displayName="Tableau3" ref="A2:E480" totalsRowShown="0" headerRowDxfId="4">
  <autoFilter ref="A2:E480"/>
  <sortState ref="A4:E480">
    <sortCondition ref="A2:A480"/>
  </sortState>
  <tableColumns count="5">
    <tableColumn id="1" name="Utilisateur"/>
    <tableColumn id="2" name="Prenoms (ID)" dataDxfId="3" totalsRowDxfId="2"/>
    <tableColumn id="4" name="Equipe"/>
    <tableColumn id="3" name="Localisation" dataDxfId="1" totalsRowDxfId="0"/>
    <tableColumn id="5" name="CABINE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4"/>
  <sheetViews>
    <sheetView zoomScaleNormal="100" workbookViewId="0">
      <pane xSplit="1" ySplit="2" topLeftCell="B91" activePane="bottomRight" state="frozen"/>
      <selection pane="topRight" activeCell="C6" sqref="C6"/>
      <selection pane="bottomLeft" activeCell="C6" sqref="C6"/>
      <selection pane="bottomRight" activeCell="B211" sqref="B211"/>
    </sheetView>
  </sheetViews>
  <sheetFormatPr baseColWidth="10" defaultColWidth="11.42578125" defaultRowHeight="15" x14ac:dyDescent="0.25"/>
  <cols>
    <col min="2" max="2" width="63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4" customWidth="1"/>
    <col min="9" max="10" width="13.28515625" customWidth="1"/>
    <col min="11" max="11" width="15" customWidth="1"/>
    <col min="12" max="12" width="14" hidden="1" customWidth="1"/>
    <col min="13" max="13" width="40.7109375" bestFit="1" customWidth="1"/>
    <col min="14" max="14" width="52.28515625" bestFit="1" customWidth="1"/>
  </cols>
  <sheetData>
    <row r="1" spans="1:13" s="4" customFormat="1" ht="23.25" x14ac:dyDescent="0.3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idden="1" x14ac:dyDescent="0.25">
      <c r="A3" s="2">
        <v>45294</v>
      </c>
      <c r="B3" s="27" t="s">
        <v>14</v>
      </c>
      <c r="C3">
        <v>20</v>
      </c>
      <c r="D3" t="s">
        <v>15</v>
      </c>
      <c r="E3" t="s">
        <v>16</v>
      </c>
      <c r="G3" t="s">
        <v>17</v>
      </c>
      <c r="H3">
        <f>VLOOKUP(Tableau68[[#This Row],[Utilisateur prevu]],Tableau3[[Prenoms (ID)]:[CABINET]],2,FALSE)</f>
        <v>0</v>
      </c>
      <c r="I3" t="str">
        <f>VLOOKUP(Tableau68[[#This Row],[Utilisateur prevu]],Tableau3[[Prenoms (ID)]:[CABINET]],3,FALSE)</f>
        <v>MADAFIT</v>
      </c>
      <c r="J3">
        <f>VLOOKUP(Tableau68[[#This Row],[Utilisateur prevu]],Tableau3[[Prenoms (ID)]:[CABINET]],4,FALSE)</f>
        <v>0</v>
      </c>
    </row>
    <row r="4" spans="1:13" hidden="1" x14ac:dyDescent="0.25">
      <c r="A4" s="2">
        <v>45294</v>
      </c>
      <c r="B4" s="27" t="s">
        <v>14</v>
      </c>
      <c r="C4">
        <v>20</v>
      </c>
      <c r="D4" t="s">
        <v>15</v>
      </c>
      <c r="E4" t="s">
        <v>16</v>
      </c>
      <c r="G4" t="s">
        <v>17</v>
      </c>
      <c r="H4">
        <f>VLOOKUP(Tableau68[[#This Row],[Utilisateur prevu]],Tableau3[[Prenoms (ID)]:[CABINET]],2,FALSE)</f>
        <v>0</v>
      </c>
      <c r="I4" t="str">
        <f>VLOOKUP(Tableau68[[#This Row],[Utilisateur prevu]],Tableau3[[Prenoms (ID)]:[CABINET]],3,FALSE)</f>
        <v>MADAFIT</v>
      </c>
      <c r="J4">
        <f>VLOOKUP(Tableau68[[#This Row],[Utilisateur prevu]],Tableau3[[Prenoms (ID)]:[CABINET]],4,FALSE)</f>
        <v>0</v>
      </c>
    </row>
    <row r="5" spans="1:13" hidden="1" x14ac:dyDescent="0.25">
      <c r="A5" s="2">
        <v>45301</v>
      </c>
      <c r="B5" s="34" t="s">
        <v>18</v>
      </c>
      <c r="C5">
        <v>300</v>
      </c>
      <c r="D5" t="s">
        <v>19</v>
      </c>
      <c r="E5" t="s">
        <v>16</v>
      </c>
      <c r="G5" t="s">
        <v>17</v>
      </c>
      <c r="H5">
        <f>VLOOKUP(Tableau68[[#This Row],[Utilisateur prevu]],Tableau3[[Prenoms (ID)]:[CABINET]],2,FALSE)</f>
        <v>0</v>
      </c>
      <c r="I5" t="str">
        <f>VLOOKUP(Tableau68[[#This Row],[Utilisateur prevu]],Tableau3[[Prenoms (ID)]:[CABINET]],3,FALSE)</f>
        <v>MADAFIT</v>
      </c>
      <c r="J5">
        <f>VLOOKUP(Tableau68[[#This Row],[Utilisateur prevu]],Tableau3[[Prenoms (ID)]:[CABINET]],4,FALSE)</f>
        <v>0</v>
      </c>
    </row>
    <row r="6" spans="1:13" hidden="1" x14ac:dyDescent="0.25">
      <c r="A6" s="2">
        <v>45314</v>
      </c>
      <c r="B6" s="27" t="s">
        <v>20</v>
      </c>
      <c r="C6">
        <v>100</v>
      </c>
      <c r="D6" t="s">
        <v>15</v>
      </c>
      <c r="E6" t="s">
        <v>16</v>
      </c>
      <c r="G6" t="s">
        <v>21</v>
      </c>
      <c r="H6">
        <f>VLOOKUP(Tableau68[[#This Row],[Utilisateur prevu]],Tableau3[[Prenoms (ID)]:[CABINET]],2,FALSE)</f>
        <v>0</v>
      </c>
      <c r="I6">
        <f>VLOOKUP(Tableau68[[#This Row],[Utilisateur prevu]],Tableau3[[Prenoms (ID)]:[CABINET]],3,FALSE)</f>
        <v>0</v>
      </c>
      <c r="J6">
        <f>VLOOKUP(Tableau68[[#This Row],[Utilisateur prevu]],Tableau3[[Prenoms (ID)]:[CABINET]],4,FALSE)</f>
        <v>0</v>
      </c>
    </row>
    <row r="7" spans="1:13" hidden="1" x14ac:dyDescent="0.25">
      <c r="A7" s="2">
        <v>45314</v>
      </c>
      <c r="B7" s="27" t="s">
        <v>22</v>
      </c>
      <c r="C7">
        <v>3</v>
      </c>
      <c r="D7" t="s">
        <v>15</v>
      </c>
      <c r="E7" t="s">
        <v>16</v>
      </c>
      <c r="H7" t="e">
        <f>VLOOKUP(Tableau68[[#This Row],[Utilisateur prevu]],Tableau3[[Prenoms (ID)]:[CABINET]],2,FALSE)</f>
        <v>#N/A</v>
      </c>
      <c r="I7" t="e">
        <f>VLOOKUP(Tableau68[[#This Row],[Utilisateur prevu]],Tableau3[[Prenoms (ID)]:[CABINET]],3,FALSE)</f>
        <v>#N/A</v>
      </c>
      <c r="J7" t="e">
        <f>VLOOKUP(Tableau68[[#This Row],[Utilisateur prevu]],Tableau3[[Prenoms (ID)]:[CABINET]],4,FALSE)</f>
        <v>#N/A</v>
      </c>
      <c r="M7" t="s">
        <v>23</v>
      </c>
    </row>
    <row r="8" spans="1:13" hidden="1" x14ac:dyDescent="0.25">
      <c r="A8" s="2">
        <v>45322</v>
      </c>
      <c r="B8" s="27" t="s">
        <v>24</v>
      </c>
      <c r="C8">
        <v>2</v>
      </c>
      <c r="D8" t="s">
        <v>15</v>
      </c>
      <c r="E8" t="s">
        <v>16</v>
      </c>
      <c r="G8" t="s">
        <v>17</v>
      </c>
      <c r="H8">
        <f>VLOOKUP(Tableau68[[#This Row],[Utilisateur prevu]],Tableau3[[Prenoms (ID)]:[CABINET]],2,FALSE)</f>
        <v>0</v>
      </c>
      <c r="I8" t="str">
        <f>VLOOKUP(Tableau68[[#This Row],[Utilisateur prevu]],Tableau3[[Prenoms (ID)]:[CABINET]],3,FALSE)</f>
        <v>MADAFIT</v>
      </c>
      <c r="J8">
        <f>VLOOKUP(Tableau68[[#This Row],[Utilisateur prevu]],Tableau3[[Prenoms (ID)]:[CABINET]],4,FALSE)</f>
        <v>0</v>
      </c>
    </row>
    <row r="9" spans="1:13" hidden="1" x14ac:dyDescent="0.25">
      <c r="A9" s="2">
        <v>45322</v>
      </c>
      <c r="B9" s="27" t="s">
        <v>25</v>
      </c>
      <c r="C9">
        <v>2</v>
      </c>
      <c r="D9" t="s">
        <v>15</v>
      </c>
      <c r="E9" t="s">
        <v>26</v>
      </c>
      <c r="G9" t="s">
        <v>27</v>
      </c>
      <c r="H9">
        <f>VLOOKUP(Tableau68[[#This Row],[Utilisateur prevu]],Tableau3[[Prenoms (ID)]:[CABINET]],2,FALSE)</f>
        <v>0</v>
      </c>
      <c r="I9" t="str">
        <f>VLOOKUP(Tableau68[[#This Row],[Utilisateur prevu]],Tableau3[[Prenoms (ID)]:[CABINET]],3,FALSE)</f>
        <v>BIRA</v>
      </c>
      <c r="J9" t="str">
        <f>VLOOKUP(Tableau68[[#This Row],[Utilisateur prevu]],Tableau3[[Prenoms (ID)]:[CABINET]],4,FALSE)</f>
        <v>CPA</v>
      </c>
    </row>
    <row r="10" spans="1:13" hidden="1" x14ac:dyDescent="0.25">
      <c r="A10" s="2">
        <v>45322</v>
      </c>
      <c r="B10" s="27" t="s">
        <v>24</v>
      </c>
      <c r="C10">
        <v>2</v>
      </c>
      <c r="D10" t="s">
        <v>15</v>
      </c>
      <c r="E10" t="s">
        <v>26</v>
      </c>
      <c r="G10" t="s">
        <v>17</v>
      </c>
      <c r="H10">
        <f>VLOOKUP(Tableau68[[#This Row],[Utilisateur prevu]],Tableau3[[Prenoms (ID)]:[CABINET]],2,FALSE)</f>
        <v>0</v>
      </c>
      <c r="I10" t="str">
        <f>VLOOKUP(Tableau68[[#This Row],[Utilisateur prevu]],Tableau3[[Prenoms (ID)]:[CABINET]],3,FALSE)</f>
        <v>MADAFIT</v>
      </c>
      <c r="J10">
        <f>VLOOKUP(Tableau68[[#This Row],[Utilisateur prevu]],Tableau3[[Prenoms (ID)]:[CABINET]],4,FALSE)</f>
        <v>0</v>
      </c>
    </row>
    <row r="11" spans="1:13" hidden="1" x14ac:dyDescent="0.25">
      <c r="A11" s="2">
        <v>45322</v>
      </c>
      <c r="B11" s="27" t="s">
        <v>28</v>
      </c>
      <c r="C11">
        <v>9</v>
      </c>
      <c r="D11" t="s">
        <v>15</v>
      </c>
      <c r="E11" t="s">
        <v>16</v>
      </c>
      <c r="H11" t="e">
        <f>VLOOKUP(Tableau68[[#This Row],[Utilisateur prevu]],Tableau3[[Prenoms (ID)]:[CABINET]],2,FALSE)</f>
        <v>#N/A</v>
      </c>
      <c r="I11" t="e">
        <f>VLOOKUP(Tableau68[[#This Row],[Utilisateur prevu]],Tableau3[[Prenoms (ID)]:[CABINET]],3,FALSE)</f>
        <v>#N/A</v>
      </c>
      <c r="J11" t="e">
        <f>VLOOKUP(Tableau68[[#This Row],[Utilisateur prevu]],Tableau3[[Prenoms (ID)]:[CABINET]],4,FALSE)</f>
        <v>#N/A</v>
      </c>
      <c r="M11" t="s">
        <v>29</v>
      </c>
    </row>
    <row r="12" spans="1:13" hidden="1" x14ac:dyDescent="0.25">
      <c r="A12" s="2">
        <v>45322</v>
      </c>
      <c r="B12" s="27" t="s">
        <v>30</v>
      </c>
      <c r="C12">
        <v>2</v>
      </c>
      <c r="D12" t="s">
        <v>15</v>
      </c>
      <c r="E12" t="s">
        <v>16</v>
      </c>
      <c r="H12" t="e">
        <f>VLOOKUP(Tableau68[[#This Row],[Utilisateur prevu]],Tableau3[[Prenoms (ID)]:[CABINET]],2,FALSE)</f>
        <v>#N/A</v>
      </c>
      <c r="I12" t="e">
        <f>VLOOKUP(Tableau68[[#This Row],[Utilisateur prevu]],Tableau3[[Prenoms (ID)]:[CABINET]],3,FALSE)</f>
        <v>#N/A</v>
      </c>
      <c r="J12" t="e">
        <f>VLOOKUP(Tableau68[[#This Row],[Utilisateur prevu]],Tableau3[[Prenoms (ID)]:[CABINET]],4,FALSE)</f>
        <v>#N/A</v>
      </c>
      <c r="M12" t="s">
        <v>31</v>
      </c>
    </row>
    <row r="13" spans="1:13" hidden="1" x14ac:dyDescent="0.25">
      <c r="A13" s="2">
        <v>45322</v>
      </c>
      <c r="B13" s="27" t="s">
        <v>28</v>
      </c>
      <c r="C13">
        <v>1</v>
      </c>
      <c r="D13" t="s">
        <v>15</v>
      </c>
      <c r="E13" t="s">
        <v>26</v>
      </c>
      <c r="H13" t="e">
        <f>VLOOKUP(Tableau68[[#This Row],[Utilisateur prevu]],Tableau3[[Prenoms (ID)]:[CABINET]],2,FALSE)</f>
        <v>#N/A</v>
      </c>
      <c r="I13" t="e">
        <f>VLOOKUP(Tableau68[[#This Row],[Utilisateur prevu]],Tableau3[[Prenoms (ID)]:[CABINET]],3,FALSE)</f>
        <v>#N/A</v>
      </c>
      <c r="J13" t="e">
        <f>VLOOKUP(Tableau68[[#This Row],[Utilisateur prevu]],Tableau3[[Prenoms (ID)]:[CABINET]],4,FALSE)</f>
        <v>#N/A</v>
      </c>
      <c r="M13" t="s">
        <v>32</v>
      </c>
    </row>
    <row r="14" spans="1:13" hidden="1" x14ac:dyDescent="0.25">
      <c r="A14" s="2">
        <v>45322</v>
      </c>
      <c r="B14" s="27" t="s">
        <v>30</v>
      </c>
      <c r="C14">
        <v>4</v>
      </c>
      <c r="D14" t="s">
        <v>15</v>
      </c>
      <c r="E14" t="s">
        <v>26</v>
      </c>
      <c r="H14" t="e">
        <f>VLOOKUP(Tableau68[[#This Row],[Utilisateur prevu]],Tableau3[[Prenoms (ID)]:[CABINET]],2,FALSE)</f>
        <v>#N/A</v>
      </c>
      <c r="I14" t="e">
        <f>VLOOKUP(Tableau68[[#This Row],[Utilisateur prevu]],Tableau3[[Prenoms (ID)]:[CABINET]],3,FALSE)</f>
        <v>#N/A</v>
      </c>
      <c r="J14" t="e">
        <f>VLOOKUP(Tableau68[[#This Row],[Utilisateur prevu]],Tableau3[[Prenoms (ID)]:[CABINET]],4,FALSE)</f>
        <v>#N/A</v>
      </c>
      <c r="M14" t="s">
        <v>33</v>
      </c>
    </row>
    <row r="15" spans="1:13" x14ac:dyDescent="0.25">
      <c r="A15" s="2">
        <v>45350</v>
      </c>
      <c r="B15" s="27" t="s">
        <v>34</v>
      </c>
      <c r="C15">
        <v>6</v>
      </c>
      <c r="D15" t="s">
        <v>15</v>
      </c>
      <c r="E15" t="s">
        <v>16</v>
      </c>
      <c r="H15" t="e">
        <f>VLOOKUP(Tableau68[[#This Row],[Utilisateur prevu]],Tableau3[[Prenoms (ID)]:[CABINET]],2,FALSE)</f>
        <v>#N/A</v>
      </c>
      <c r="I15" t="e">
        <f>VLOOKUP(Tableau68[[#This Row],[Utilisateur prevu]],Tableau3[[Prenoms (ID)]:[CABINET]],3,FALSE)</f>
        <v>#N/A</v>
      </c>
      <c r="J15" t="e">
        <f>VLOOKUP(Tableau68[[#This Row],[Utilisateur prevu]],Tableau3[[Prenoms (ID)]:[CABINET]],4,FALSE)</f>
        <v>#N/A</v>
      </c>
      <c r="M15" t="s">
        <v>35</v>
      </c>
    </row>
    <row r="16" spans="1:13" hidden="1" x14ac:dyDescent="0.25">
      <c r="A16" s="2">
        <v>45350</v>
      </c>
      <c r="B16" s="27" t="s">
        <v>36</v>
      </c>
      <c r="C16">
        <v>6</v>
      </c>
      <c r="D16" t="s">
        <v>15</v>
      </c>
      <c r="E16" t="s">
        <v>16</v>
      </c>
      <c r="H16" t="e">
        <f>VLOOKUP(Tableau68[[#This Row],[Utilisateur prevu]],Tableau3[[Prenoms (ID)]:[CABINET]],2,FALSE)</f>
        <v>#N/A</v>
      </c>
      <c r="I16" t="e">
        <f>VLOOKUP(Tableau68[[#This Row],[Utilisateur prevu]],Tableau3[[Prenoms (ID)]:[CABINET]],3,FALSE)</f>
        <v>#N/A</v>
      </c>
      <c r="J16" t="e">
        <f>VLOOKUP(Tableau68[[#This Row],[Utilisateur prevu]],Tableau3[[Prenoms (ID)]:[CABINET]],4,FALSE)</f>
        <v>#N/A</v>
      </c>
      <c r="M16" t="s">
        <v>37</v>
      </c>
    </row>
    <row r="17" spans="1:13" x14ac:dyDescent="0.25">
      <c r="A17" s="2">
        <v>45350</v>
      </c>
      <c r="B17" s="27" t="s">
        <v>34</v>
      </c>
      <c r="C17">
        <v>2</v>
      </c>
      <c r="D17" t="s">
        <v>15</v>
      </c>
      <c r="E17" t="s">
        <v>26</v>
      </c>
      <c r="H17" t="e">
        <f>VLOOKUP(Tableau68[[#This Row],[Utilisateur prevu]],Tableau3[[Prenoms (ID)]:[CABINET]],2,FALSE)</f>
        <v>#N/A</v>
      </c>
      <c r="I17" t="e">
        <f>VLOOKUP(Tableau68[[#This Row],[Utilisateur prevu]],Tableau3[[Prenoms (ID)]:[CABINET]],3,FALSE)</f>
        <v>#N/A</v>
      </c>
      <c r="J17" t="e">
        <f>VLOOKUP(Tableau68[[#This Row],[Utilisateur prevu]],Tableau3[[Prenoms (ID)]:[CABINET]],4,FALSE)</f>
        <v>#N/A</v>
      </c>
      <c r="M17" t="s">
        <v>38</v>
      </c>
    </row>
    <row r="18" spans="1:13" hidden="1" x14ac:dyDescent="0.25">
      <c r="A18" s="2">
        <v>45350</v>
      </c>
      <c r="B18" s="27" t="s">
        <v>36</v>
      </c>
      <c r="C18">
        <v>5</v>
      </c>
      <c r="D18" t="s">
        <v>15</v>
      </c>
      <c r="E18" t="s">
        <v>26</v>
      </c>
      <c r="H18" t="e">
        <f>VLOOKUP(Tableau68[[#This Row],[Utilisateur prevu]],Tableau3[[Prenoms (ID)]:[CABINET]],2,FALSE)</f>
        <v>#N/A</v>
      </c>
      <c r="I18" t="e">
        <f>VLOOKUP(Tableau68[[#This Row],[Utilisateur prevu]],Tableau3[[Prenoms (ID)]:[CABINET]],3,FALSE)</f>
        <v>#N/A</v>
      </c>
      <c r="J18" t="e">
        <f>VLOOKUP(Tableau68[[#This Row],[Utilisateur prevu]],Tableau3[[Prenoms (ID)]:[CABINET]],4,FALSE)</f>
        <v>#N/A</v>
      </c>
      <c r="M18" t="s">
        <v>39</v>
      </c>
    </row>
    <row r="19" spans="1:13" hidden="1" x14ac:dyDescent="0.25">
      <c r="A19" s="2">
        <v>45356</v>
      </c>
      <c r="B19" s="27" t="s">
        <v>22</v>
      </c>
      <c r="C19">
        <v>3</v>
      </c>
      <c r="D19" t="s">
        <v>15</v>
      </c>
      <c r="E19" t="s">
        <v>16</v>
      </c>
      <c r="H19" t="e">
        <f>VLOOKUP(Tableau68[[#This Row],[Utilisateur prevu]],Tableau3[[Prenoms (ID)]:[CABINET]],2,FALSE)</f>
        <v>#N/A</v>
      </c>
      <c r="I19" t="e">
        <f>VLOOKUP(Tableau68[[#This Row],[Utilisateur prevu]],Tableau3[[Prenoms (ID)]:[CABINET]],3,FALSE)</f>
        <v>#N/A</v>
      </c>
      <c r="J19" t="e">
        <f>VLOOKUP(Tableau68[[#This Row],[Utilisateur prevu]],Tableau3[[Prenoms (ID)]:[CABINET]],4,FALSE)</f>
        <v>#N/A</v>
      </c>
      <c r="M19" t="s">
        <v>40</v>
      </c>
    </row>
    <row r="20" spans="1:13" hidden="1" x14ac:dyDescent="0.25">
      <c r="A20" s="2">
        <v>45357</v>
      </c>
      <c r="B20" s="27" t="s">
        <v>24</v>
      </c>
      <c r="C20">
        <v>2</v>
      </c>
      <c r="D20" t="s">
        <v>15</v>
      </c>
      <c r="E20" t="s">
        <v>16</v>
      </c>
      <c r="G20" t="s">
        <v>17</v>
      </c>
      <c r="H20">
        <f>VLOOKUP(Tableau68[[#This Row],[Utilisateur prevu]],Tableau3[[Prenoms (ID)]:[CABINET]],2,FALSE)</f>
        <v>0</v>
      </c>
      <c r="I20" t="str">
        <f>VLOOKUP(Tableau68[[#This Row],[Utilisateur prevu]],Tableau3[[Prenoms (ID)]:[CABINET]],3,FALSE)</f>
        <v>MADAFIT</v>
      </c>
      <c r="J20">
        <f>VLOOKUP(Tableau68[[#This Row],[Utilisateur prevu]],Tableau3[[Prenoms (ID)]:[CABINET]],4,FALSE)</f>
        <v>0</v>
      </c>
    </row>
    <row r="21" spans="1:13" hidden="1" x14ac:dyDescent="0.25">
      <c r="A21" s="2">
        <v>45357</v>
      </c>
      <c r="B21" s="27" t="s">
        <v>20</v>
      </c>
      <c r="C21">
        <v>100</v>
      </c>
      <c r="D21" t="s">
        <v>15</v>
      </c>
      <c r="E21" t="s">
        <v>26</v>
      </c>
      <c r="G21" t="s">
        <v>17</v>
      </c>
      <c r="H21">
        <f>VLOOKUP(Tableau68[[#This Row],[Utilisateur prevu]],Tableau3[[Prenoms (ID)]:[CABINET]],2,FALSE)</f>
        <v>0</v>
      </c>
      <c r="I21" t="str">
        <f>VLOOKUP(Tableau68[[#This Row],[Utilisateur prevu]],Tableau3[[Prenoms (ID)]:[CABINET]],3,FALSE)</f>
        <v>MADAFIT</v>
      </c>
      <c r="J21">
        <f>VLOOKUP(Tableau68[[#This Row],[Utilisateur prevu]],Tableau3[[Prenoms (ID)]:[CABINET]],4,FALSE)</f>
        <v>0</v>
      </c>
    </row>
    <row r="22" spans="1:13" hidden="1" x14ac:dyDescent="0.25">
      <c r="A22" s="2">
        <v>45357</v>
      </c>
      <c r="B22" s="27" t="s">
        <v>24</v>
      </c>
      <c r="C22">
        <v>2</v>
      </c>
      <c r="D22" t="s">
        <v>15</v>
      </c>
      <c r="E22" t="s">
        <v>26</v>
      </c>
      <c r="G22" t="s">
        <v>17</v>
      </c>
      <c r="H22">
        <f>VLOOKUP(Tableau68[[#This Row],[Utilisateur prevu]],Tableau3[[Prenoms (ID)]:[CABINET]],2,FALSE)</f>
        <v>0</v>
      </c>
      <c r="I22" t="str">
        <f>VLOOKUP(Tableau68[[#This Row],[Utilisateur prevu]],Tableau3[[Prenoms (ID)]:[CABINET]],3,FALSE)</f>
        <v>MADAFIT</v>
      </c>
      <c r="J22">
        <f>VLOOKUP(Tableau68[[#This Row],[Utilisateur prevu]],Tableau3[[Prenoms (ID)]:[CABINET]],4,FALSE)</f>
        <v>0</v>
      </c>
    </row>
    <row r="23" spans="1:13" hidden="1" x14ac:dyDescent="0.25">
      <c r="A23" s="2">
        <v>45357</v>
      </c>
      <c r="B23" s="27" t="s">
        <v>41</v>
      </c>
      <c r="C23">
        <v>3</v>
      </c>
      <c r="D23" t="s">
        <v>15</v>
      </c>
      <c r="E23" t="s">
        <v>16</v>
      </c>
      <c r="H23" t="e">
        <f>VLOOKUP(Tableau68[[#This Row],[Utilisateur prevu]],Tableau3[[Prenoms (ID)]:[CABINET]],2,FALSE)</f>
        <v>#N/A</v>
      </c>
      <c r="I23" t="e">
        <f>VLOOKUP(Tableau68[[#This Row],[Utilisateur prevu]],Tableau3[[Prenoms (ID)]:[CABINET]],3,FALSE)</f>
        <v>#N/A</v>
      </c>
      <c r="J23" t="e">
        <f>VLOOKUP(Tableau68[[#This Row],[Utilisateur prevu]],Tableau3[[Prenoms (ID)]:[CABINET]],4,FALSE)</f>
        <v>#N/A</v>
      </c>
      <c r="M23" t="s">
        <v>42</v>
      </c>
    </row>
    <row r="24" spans="1:13" hidden="1" x14ac:dyDescent="0.25">
      <c r="A24" s="2">
        <v>45357</v>
      </c>
      <c r="B24" s="27" t="s">
        <v>41</v>
      </c>
      <c r="C24">
        <v>2</v>
      </c>
      <c r="D24" t="s">
        <v>15</v>
      </c>
      <c r="E24" t="s">
        <v>26</v>
      </c>
      <c r="H24" t="e">
        <f>VLOOKUP(Tableau68[[#This Row],[Utilisateur prevu]],Tableau3[[Prenoms (ID)]:[CABINET]],2,FALSE)</f>
        <v>#N/A</v>
      </c>
      <c r="I24" t="e">
        <f>VLOOKUP(Tableau68[[#This Row],[Utilisateur prevu]],Tableau3[[Prenoms (ID)]:[CABINET]],3,FALSE)</f>
        <v>#N/A</v>
      </c>
      <c r="J24" t="e">
        <f>VLOOKUP(Tableau68[[#This Row],[Utilisateur prevu]],Tableau3[[Prenoms (ID)]:[CABINET]],4,FALSE)</f>
        <v>#N/A</v>
      </c>
      <c r="M24" t="s">
        <v>43</v>
      </c>
    </row>
    <row r="25" spans="1:13" hidden="1" x14ac:dyDescent="0.25">
      <c r="A25" s="2">
        <v>45357</v>
      </c>
      <c r="B25" s="27" t="s">
        <v>44</v>
      </c>
      <c r="C25">
        <v>1</v>
      </c>
      <c r="D25" t="s">
        <v>15</v>
      </c>
      <c r="E25" t="s">
        <v>26</v>
      </c>
      <c r="G25" t="s">
        <v>21</v>
      </c>
      <c r="H25">
        <f>VLOOKUP(Tableau68[[#This Row],[Utilisateur prevu]],Tableau3[[Prenoms (ID)]:[CABINET]],2,FALSE)</f>
        <v>0</v>
      </c>
      <c r="I25">
        <f>VLOOKUP(Tableau68[[#This Row],[Utilisateur prevu]],Tableau3[[Prenoms (ID)]:[CABINET]],3,FALSE)</f>
        <v>0</v>
      </c>
      <c r="J25">
        <f>VLOOKUP(Tableau68[[#This Row],[Utilisateur prevu]],Tableau3[[Prenoms (ID)]:[CABINET]],4,FALSE)</f>
        <v>0</v>
      </c>
      <c r="M25" t="s">
        <v>21</v>
      </c>
    </row>
    <row r="26" spans="1:13" hidden="1" x14ac:dyDescent="0.25">
      <c r="A26" s="2">
        <v>45357</v>
      </c>
      <c r="B26" s="27" t="s">
        <v>45</v>
      </c>
      <c r="C26">
        <v>1</v>
      </c>
      <c r="D26" t="s">
        <v>15</v>
      </c>
      <c r="E26" t="s">
        <v>26</v>
      </c>
      <c r="G26" t="s">
        <v>46</v>
      </c>
      <c r="H26" t="str">
        <f>VLOOKUP(Tableau68[[#This Row],[Utilisateur prevu]],Tableau3[[Prenoms (ID)]:[CABINET]],2,FALSE)</f>
        <v>Audit CPA</v>
      </c>
      <c r="I26" t="str">
        <f>VLOOKUP(Tableau68[[#This Row],[Utilisateur prevu]],Tableau3[[Prenoms (ID)]:[CABINET]],3,FALSE)</f>
        <v>AUDIT-CPA</v>
      </c>
      <c r="J26" t="str">
        <f>VLOOKUP(Tableau68[[#This Row],[Utilisateur prevu]],Tableau3[[Prenoms (ID)]:[CABINET]],4,FALSE)</f>
        <v>CPA</v>
      </c>
      <c r="M26" t="s">
        <v>47</v>
      </c>
    </row>
    <row r="27" spans="1:13" hidden="1" x14ac:dyDescent="0.25">
      <c r="A27" s="2">
        <v>45385</v>
      </c>
      <c r="B27" s="27" t="s">
        <v>48</v>
      </c>
      <c r="C27">
        <v>1</v>
      </c>
      <c r="D27" t="s">
        <v>49</v>
      </c>
      <c r="E27" t="s">
        <v>16</v>
      </c>
      <c r="H27" t="e">
        <f>VLOOKUP(Tableau68[[#This Row],[Utilisateur prevu]],Tableau3[[Prenoms (ID)]:[CABINET]],2,FALSE)</f>
        <v>#N/A</v>
      </c>
      <c r="I27" t="e">
        <f>VLOOKUP(Tableau68[[#This Row],[Utilisateur prevu]],Tableau3[[Prenoms (ID)]:[CABINET]],3,FALSE)</f>
        <v>#N/A</v>
      </c>
      <c r="J27" t="e">
        <f>VLOOKUP(Tableau68[[#This Row],[Utilisateur prevu]],Tableau3[[Prenoms (ID)]:[CABINET]],4,FALSE)</f>
        <v>#N/A</v>
      </c>
      <c r="M27" t="s">
        <v>50</v>
      </c>
    </row>
    <row r="28" spans="1:13" hidden="1" x14ac:dyDescent="0.25">
      <c r="A28" s="2">
        <v>45385</v>
      </c>
      <c r="B28" s="27" t="s">
        <v>24</v>
      </c>
      <c r="C28">
        <v>6</v>
      </c>
      <c r="D28" t="s">
        <v>15</v>
      </c>
      <c r="E28" t="s">
        <v>16</v>
      </c>
      <c r="H28" t="e">
        <f>VLOOKUP(Tableau68[[#This Row],[Utilisateur prevu]],Tableau3[[Prenoms (ID)]:[CABINET]],2,FALSE)</f>
        <v>#N/A</v>
      </c>
      <c r="I28" t="e">
        <f>VLOOKUP(Tableau68[[#This Row],[Utilisateur prevu]],Tableau3[[Prenoms (ID)]:[CABINET]],3,FALSE)</f>
        <v>#N/A</v>
      </c>
      <c r="J28" t="e">
        <f>VLOOKUP(Tableau68[[#This Row],[Utilisateur prevu]],Tableau3[[Prenoms (ID)]:[CABINET]],4,FALSE)</f>
        <v>#N/A</v>
      </c>
      <c r="M28" t="s">
        <v>51</v>
      </c>
    </row>
    <row r="29" spans="1:13" hidden="1" x14ac:dyDescent="0.25">
      <c r="A29" s="2">
        <v>45392</v>
      </c>
      <c r="B29" s="27" t="s">
        <v>52</v>
      </c>
      <c r="C29">
        <v>20</v>
      </c>
      <c r="D29" t="s">
        <v>15</v>
      </c>
      <c r="E29" t="s">
        <v>16</v>
      </c>
      <c r="G29" t="s">
        <v>17</v>
      </c>
      <c r="H29">
        <f>VLOOKUP(Tableau68[[#This Row],[Utilisateur prevu]],Tableau3[[Prenoms (ID)]:[CABINET]],2,FALSE)</f>
        <v>0</v>
      </c>
      <c r="I29" t="str">
        <f>VLOOKUP(Tableau68[[#This Row],[Utilisateur prevu]],Tableau3[[Prenoms (ID)]:[CABINET]],3,FALSE)</f>
        <v>MADAFIT</v>
      </c>
      <c r="J29">
        <f>VLOOKUP(Tableau68[[#This Row],[Utilisateur prevu]],Tableau3[[Prenoms (ID)]:[CABINET]],4,FALSE)</f>
        <v>0</v>
      </c>
      <c r="M29" t="s">
        <v>53</v>
      </c>
    </row>
    <row r="30" spans="1:13" hidden="1" x14ac:dyDescent="0.25">
      <c r="A30" s="2">
        <v>45392</v>
      </c>
      <c r="B30" s="27" t="s">
        <v>54</v>
      </c>
      <c r="C30">
        <v>20</v>
      </c>
      <c r="D30" t="s">
        <v>15</v>
      </c>
      <c r="E30" t="s">
        <v>16</v>
      </c>
      <c r="G30" t="s">
        <v>17</v>
      </c>
      <c r="H30">
        <f>VLOOKUP(Tableau68[[#This Row],[Utilisateur prevu]],Tableau3[[Prenoms (ID)]:[CABINET]],2,FALSE)</f>
        <v>0</v>
      </c>
      <c r="I30" t="str">
        <f>VLOOKUP(Tableau68[[#This Row],[Utilisateur prevu]],Tableau3[[Prenoms (ID)]:[CABINET]],3,FALSE)</f>
        <v>MADAFIT</v>
      </c>
      <c r="J30">
        <f>VLOOKUP(Tableau68[[#This Row],[Utilisateur prevu]],Tableau3[[Prenoms (ID)]:[CABINET]],4,FALSE)</f>
        <v>0</v>
      </c>
      <c r="M30" t="s">
        <v>53</v>
      </c>
    </row>
    <row r="31" spans="1:13" hidden="1" x14ac:dyDescent="0.25">
      <c r="A31" s="2">
        <v>45392</v>
      </c>
      <c r="B31" s="27" t="s">
        <v>52</v>
      </c>
      <c r="C31">
        <v>20</v>
      </c>
      <c r="D31" t="s">
        <v>15</v>
      </c>
      <c r="E31" t="s">
        <v>26</v>
      </c>
      <c r="G31" t="s">
        <v>17</v>
      </c>
      <c r="H31">
        <f>VLOOKUP(Tableau68[[#This Row],[Utilisateur prevu]],Tableau3[[Prenoms (ID)]:[CABINET]],2,FALSE)</f>
        <v>0</v>
      </c>
      <c r="I31" t="str">
        <f>VLOOKUP(Tableau68[[#This Row],[Utilisateur prevu]],Tableau3[[Prenoms (ID)]:[CABINET]],3,FALSE)</f>
        <v>MADAFIT</v>
      </c>
      <c r="J31">
        <f>VLOOKUP(Tableau68[[#This Row],[Utilisateur prevu]],Tableau3[[Prenoms (ID)]:[CABINET]],4,FALSE)</f>
        <v>0</v>
      </c>
      <c r="M31" t="s">
        <v>53</v>
      </c>
    </row>
    <row r="32" spans="1:13" hidden="1" x14ac:dyDescent="0.25">
      <c r="A32" s="2">
        <v>45392</v>
      </c>
      <c r="B32" s="27" t="s">
        <v>54</v>
      </c>
      <c r="C32">
        <v>20</v>
      </c>
      <c r="D32" t="s">
        <v>15</v>
      </c>
      <c r="E32" t="s">
        <v>26</v>
      </c>
      <c r="G32" t="s">
        <v>17</v>
      </c>
      <c r="H32">
        <f>VLOOKUP(Tableau68[[#This Row],[Utilisateur prevu]],Tableau3[[Prenoms (ID)]:[CABINET]],2,FALSE)</f>
        <v>0</v>
      </c>
      <c r="I32" t="str">
        <f>VLOOKUP(Tableau68[[#This Row],[Utilisateur prevu]],Tableau3[[Prenoms (ID)]:[CABINET]],3,FALSE)</f>
        <v>MADAFIT</v>
      </c>
      <c r="J32">
        <f>VLOOKUP(Tableau68[[#This Row],[Utilisateur prevu]],Tableau3[[Prenoms (ID)]:[CABINET]],4,FALSE)</f>
        <v>0</v>
      </c>
      <c r="M32" t="s">
        <v>53</v>
      </c>
    </row>
    <row r="33" spans="1:13" hidden="1" x14ac:dyDescent="0.25">
      <c r="A33" s="2">
        <v>45397</v>
      </c>
      <c r="B33" s="27" t="s">
        <v>55</v>
      </c>
      <c r="C33">
        <v>1</v>
      </c>
      <c r="D33" t="s">
        <v>49</v>
      </c>
      <c r="E33" t="s">
        <v>26</v>
      </c>
      <c r="G33" t="s">
        <v>17</v>
      </c>
      <c r="H33">
        <f>VLOOKUP(Tableau68[[#This Row],[Utilisateur prevu]],Tableau3[[Prenoms (ID)]:[CABINET]],2,FALSE)</f>
        <v>0</v>
      </c>
      <c r="I33" t="str">
        <f>VLOOKUP(Tableau68[[#This Row],[Utilisateur prevu]],Tableau3[[Prenoms (ID)]:[CABINET]],3,FALSE)</f>
        <v>MADAFIT</v>
      </c>
      <c r="J33">
        <f>VLOOKUP(Tableau68[[#This Row],[Utilisateur prevu]],Tableau3[[Prenoms (ID)]:[CABINET]],4,FALSE)</f>
        <v>0</v>
      </c>
      <c r="M33" t="s">
        <v>53</v>
      </c>
    </row>
    <row r="34" spans="1:13" hidden="1" x14ac:dyDescent="0.25">
      <c r="A34" s="2">
        <v>45398</v>
      </c>
      <c r="B34" s="27" t="s">
        <v>56</v>
      </c>
      <c r="C34">
        <v>1</v>
      </c>
      <c r="D34" t="s">
        <v>49</v>
      </c>
      <c r="E34" t="s">
        <v>26</v>
      </c>
      <c r="G34" t="s">
        <v>17</v>
      </c>
      <c r="H34">
        <f>VLOOKUP(Tableau68[[#This Row],[Utilisateur prevu]],Tableau3[[Prenoms (ID)]:[CABINET]],2,FALSE)</f>
        <v>0</v>
      </c>
      <c r="I34" t="str">
        <f>VLOOKUP(Tableau68[[#This Row],[Utilisateur prevu]],Tableau3[[Prenoms (ID)]:[CABINET]],3,FALSE)</f>
        <v>MADAFIT</v>
      </c>
      <c r="J34">
        <f>VLOOKUP(Tableau68[[#This Row],[Utilisateur prevu]],Tableau3[[Prenoms (ID)]:[CABINET]],4,FALSE)</f>
        <v>0</v>
      </c>
      <c r="M34" t="s">
        <v>53</v>
      </c>
    </row>
    <row r="35" spans="1:13" x14ac:dyDescent="0.25">
      <c r="A35" s="2">
        <v>45401</v>
      </c>
      <c r="B35" s="27" t="s">
        <v>34</v>
      </c>
      <c r="C35">
        <v>1</v>
      </c>
      <c r="D35" t="s">
        <v>49</v>
      </c>
      <c r="E35" t="s">
        <v>16</v>
      </c>
      <c r="H35" t="e">
        <f>VLOOKUP(Tableau68[[#This Row],[Utilisateur prevu]],Tableau3[[Prenoms (ID)]:[CABINET]],2,FALSE)</f>
        <v>#N/A</v>
      </c>
      <c r="I35" t="e">
        <f>VLOOKUP(Tableau68[[#This Row],[Utilisateur prevu]],Tableau3[[Prenoms (ID)]:[CABINET]],3,FALSE)</f>
        <v>#N/A</v>
      </c>
      <c r="J35" t="e">
        <f>VLOOKUP(Tableau68[[#This Row],[Utilisateur prevu]],Tableau3[[Prenoms (ID)]:[CABINET]],4,FALSE)</f>
        <v>#N/A</v>
      </c>
      <c r="M35" t="s">
        <v>57</v>
      </c>
    </row>
    <row r="36" spans="1:13" hidden="1" x14ac:dyDescent="0.25">
      <c r="A36" s="2">
        <v>45401</v>
      </c>
      <c r="B36" s="27" t="s">
        <v>58</v>
      </c>
      <c r="C36">
        <v>4</v>
      </c>
      <c r="D36" t="s">
        <v>15</v>
      </c>
      <c r="E36" t="s">
        <v>16</v>
      </c>
      <c r="H36" t="e">
        <f>VLOOKUP(Tableau68[[#This Row],[Utilisateur prevu]],Tableau3[[Prenoms (ID)]:[CABINET]],2,FALSE)</f>
        <v>#N/A</v>
      </c>
      <c r="I36" t="e">
        <f>VLOOKUP(Tableau68[[#This Row],[Utilisateur prevu]],Tableau3[[Prenoms (ID)]:[CABINET]],3,FALSE)</f>
        <v>#N/A</v>
      </c>
      <c r="J36" t="e">
        <f>VLOOKUP(Tableau68[[#This Row],[Utilisateur prevu]],Tableau3[[Prenoms (ID)]:[CABINET]],4,FALSE)</f>
        <v>#N/A</v>
      </c>
      <c r="M36" t="s">
        <v>59</v>
      </c>
    </row>
    <row r="37" spans="1:13" hidden="1" x14ac:dyDescent="0.25">
      <c r="A37" s="2">
        <v>45401</v>
      </c>
      <c r="B37" s="27" t="s">
        <v>60</v>
      </c>
      <c r="C37">
        <v>10</v>
      </c>
      <c r="D37" t="s">
        <v>15</v>
      </c>
      <c r="E37" t="s">
        <v>16</v>
      </c>
      <c r="G37" t="s">
        <v>17</v>
      </c>
      <c r="H37">
        <f>VLOOKUP(Tableau68[[#This Row],[Utilisateur prevu]],Tableau3[[Prenoms (ID)]:[CABINET]],2,FALSE)</f>
        <v>0</v>
      </c>
      <c r="I37" t="str">
        <f>VLOOKUP(Tableau68[[#This Row],[Utilisateur prevu]],Tableau3[[Prenoms (ID)]:[CABINET]],3,FALSE)</f>
        <v>MADAFIT</v>
      </c>
      <c r="J37">
        <f>VLOOKUP(Tableau68[[#This Row],[Utilisateur prevu]],Tableau3[[Prenoms (ID)]:[CABINET]],4,FALSE)</f>
        <v>0</v>
      </c>
      <c r="M37" t="s">
        <v>53</v>
      </c>
    </row>
    <row r="38" spans="1:13" hidden="1" x14ac:dyDescent="0.25">
      <c r="A38" s="2">
        <v>45401</v>
      </c>
      <c r="B38" s="27" t="s">
        <v>61</v>
      </c>
      <c r="C38">
        <v>1</v>
      </c>
      <c r="D38" t="s">
        <v>49</v>
      </c>
      <c r="E38" t="s">
        <v>16</v>
      </c>
      <c r="G38" t="s">
        <v>62</v>
      </c>
      <c r="H38">
        <f>VLOOKUP(Tableau68[[#This Row],[Utilisateur prevu]],Tableau3[[Prenoms (ID)]:[CABINET]],2,FALSE)</f>
        <v>0</v>
      </c>
      <c r="I38" t="str">
        <f>VLOOKUP(Tableau68[[#This Row],[Utilisateur prevu]],Tableau3[[Prenoms (ID)]:[CABINET]],3,FALSE)</f>
        <v>BNI</v>
      </c>
      <c r="J38" t="str">
        <f>VLOOKUP(Tableau68[[#This Row],[Utilisateur prevu]],Tableau3[[Prenoms (ID)]:[CABINET]],4,FALSE)</f>
        <v>CPA</v>
      </c>
      <c r="M38" t="s">
        <v>63</v>
      </c>
    </row>
    <row r="39" spans="1:13" hidden="1" x14ac:dyDescent="0.25">
      <c r="A39" s="2">
        <v>45401</v>
      </c>
      <c r="B39" s="27" t="s">
        <v>25</v>
      </c>
      <c r="C39">
        <v>2</v>
      </c>
      <c r="D39" t="s">
        <v>15</v>
      </c>
      <c r="E39" t="s">
        <v>16</v>
      </c>
      <c r="G39" t="s">
        <v>17</v>
      </c>
      <c r="H39">
        <f>VLOOKUP(Tableau68[[#This Row],[Utilisateur prevu]],Tableau3[[Prenoms (ID)]:[CABINET]],2,FALSE)</f>
        <v>0</v>
      </c>
      <c r="I39" t="str">
        <f>VLOOKUP(Tableau68[[#This Row],[Utilisateur prevu]],Tableau3[[Prenoms (ID)]:[CABINET]],3,FALSE)</f>
        <v>MADAFIT</v>
      </c>
      <c r="J39">
        <f>VLOOKUP(Tableau68[[#This Row],[Utilisateur prevu]],Tableau3[[Prenoms (ID)]:[CABINET]],4,FALSE)</f>
        <v>0</v>
      </c>
      <c r="M39" t="s">
        <v>53</v>
      </c>
    </row>
    <row r="40" spans="1:13" hidden="1" x14ac:dyDescent="0.25">
      <c r="A40" s="2">
        <v>45401</v>
      </c>
      <c r="B40" s="27" t="s">
        <v>64</v>
      </c>
      <c r="C40">
        <v>10</v>
      </c>
      <c r="D40" t="s">
        <v>15</v>
      </c>
      <c r="E40" t="s">
        <v>16</v>
      </c>
      <c r="G40" t="s">
        <v>17</v>
      </c>
      <c r="H40">
        <f>VLOOKUP(Tableau68[[#This Row],[Utilisateur prevu]],Tableau3[[Prenoms (ID)]:[CABINET]],2,FALSE)</f>
        <v>0</v>
      </c>
      <c r="I40" t="str">
        <f>VLOOKUP(Tableau68[[#This Row],[Utilisateur prevu]],Tableau3[[Prenoms (ID)]:[CABINET]],3,FALSE)</f>
        <v>MADAFIT</v>
      </c>
      <c r="J40">
        <f>VLOOKUP(Tableau68[[#This Row],[Utilisateur prevu]],Tableau3[[Prenoms (ID)]:[CABINET]],4,FALSE)</f>
        <v>0</v>
      </c>
      <c r="M40" t="s">
        <v>53</v>
      </c>
    </row>
    <row r="41" spans="1:13" hidden="1" x14ac:dyDescent="0.25">
      <c r="A41" s="2">
        <v>45401</v>
      </c>
      <c r="B41" s="27" t="s">
        <v>65</v>
      </c>
      <c r="C41">
        <v>2</v>
      </c>
      <c r="D41" t="s">
        <v>15</v>
      </c>
      <c r="E41" t="s">
        <v>16</v>
      </c>
      <c r="H41" t="e">
        <f>VLOOKUP(Tableau68[[#This Row],[Utilisateur prevu]],Tableau3[[Prenoms (ID)]:[CABINET]],2,FALSE)</f>
        <v>#N/A</v>
      </c>
      <c r="I41" t="e">
        <f>VLOOKUP(Tableau68[[#This Row],[Utilisateur prevu]],Tableau3[[Prenoms (ID)]:[CABINET]],3,FALSE)</f>
        <v>#N/A</v>
      </c>
      <c r="J41" t="e">
        <f>VLOOKUP(Tableau68[[#This Row],[Utilisateur prevu]],Tableau3[[Prenoms (ID)]:[CABINET]],4,FALSE)</f>
        <v>#N/A</v>
      </c>
      <c r="M41" t="s">
        <v>66</v>
      </c>
    </row>
    <row r="42" spans="1:13" hidden="1" x14ac:dyDescent="0.25">
      <c r="A42" s="2">
        <v>45401</v>
      </c>
      <c r="B42" s="27" t="s">
        <v>24</v>
      </c>
      <c r="C42">
        <v>5</v>
      </c>
      <c r="D42" t="s">
        <v>15</v>
      </c>
      <c r="E42" t="s">
        <v>26</v>
      </c>
      <c r="H42" t="e">
        <f>VLOOKUP(Tableau68[[#This Row],[Utilisateur prevu]],Tableau3[[Prenoms (ID)]:[CABINET]],2,FALSE)</f>
        <v>#N/A</v>
      </c>
      <c r="I42" t="e">
        <f>VLOOKUP(Tableau68[[#This Row],[Utilisateur prevu]],Tableau3[[Prenoms (ID)]:[CABINET]],3,FALSE)</f>
        <v>#N/A</v>
      </c>
      <c r="J42" t="e">
        <f>VLOOKUP(Tableau68[[#This Row],[Utilisateur prevu]],Tableau3[[Prenoms (ID)]:[CABINET]],4,FALSE)</f>
        <v>#N/A</v>
      </c>
      <c r="M42" t="s">
        <v>67</v>
      </c>
    </row>
    <row r="43" spans="1:13" x14ac:dyDescent="0.25">
      <c r="A43" s="2">
        <v>45401</v>
      </c>
      <c r="B43" s="27" t="s">
        <v>34</v>
      </c>
      <c r="C43">
        <v>2</v>
      </c>
      <c r="D43" t="s">
        <v>15</v>
      </c>
      <c r="E43" t="s">
        <v>26</v>
      </c>
      <c r="G43" t="s">
        <v>68</v>
      </c>
      <c r="H43" t="str">
        <f>VLOOKUP(Tableau68[[#This Row],[Utilisateur prevu]],Tableau3[[Prenoms (ID)]:[CABINET]],2,FALSE)</f>
        <v>Administration</v>
      </c>
      <c r="I43">
        <f>VLOOKUP(Tableau68[[#This Row],[Utilisateur prevu]],Tableau3[[Prenoms (ID)]:[CABINET]],3,FALSE)</f>
        <v>0</v>
      </c>
      <c r="J43">
        <f>VLOOKUP(Tableau68[[#This Row],[Utilisateur prevu]],Tableau3[[Prenoms (ID)]:[CABINET]],4,FALSE)</f>
        <v>0</v>
      </c>
      <c r="M43" t="s">
        <v>69</v>
      </c>
    </row>
    <row r="44" spans="1:13" hidden="1" x14ac:dyDescent="0.25">
      <c r="A44" s="2">
        <v>45401</v>
      </c>
      <c r="B44" s="27" t="s">
        <v>60</v>
      </c>
      <c r="C44">
        <v>10</v>
      </c>
      <c r="D44" t="s">
        <v>15</v>
      </c>
      <c r="E44" t="s">
        <v>26</v>
      </c>
      <c r="G44" t="s">
        <v>17</v>
      </c>
      <c r="H44">
        <f>VLOOKUP(Tableau68[[#This Row],[Utilisateur prevu]],Tableau3[[Prenoms (ID)]:[CABINET]],2,FALSE)</f>
        <v>0</v>
      </c>
      <c r="I44" t="str">
        <f>VLOOKUP(Tableau68[[#This Row],[Utilisateur prevu]],Tableau3[[Prenoms (ID)]:[CABINET]],3,FALSE)</f>
        <v>MADAFIT</v>
      </c>
      <c r="J44">
        <f>VLOOKUP(Tableau68[[#This Row],[Utilisateur prevu]],Tableau3[[Prenoms (ID)]:[CABINET]],4,FALSE)</f>
        <v>0</v>
      </c>
      <c r="M44" t="s">
        <v>53</v>
      </c>
    </row>
    <row r="45" spans="1:13" hidden="1" x14ac:dyDescent="0.25">
      <c r="A45" s="2">
        <v>45404</v>
      </c>
      <c r="B45" s="27" t="s">
        <v>70</v>
      </c>
      <c r="C45">
        <v>1</v>
      </c>
      <c r="D45" t="s">
        <v>49</v>
      </c>
      <c r="E45" t="s">
        <v>26</v>
      </c>
      <c r="G45" t="s">
        <v>71</v>
      </c>
      <c r="H45">
        <f>VLOOKUP(Tableau68[[#This Row],[Utilisateur prevu]],Tableau3[[Prenoms (ID)]:[CABINET]],2,FALSE)</f>
        <v>0</v>
      </c>
      <c r="I45" t="str">
        <f>VLOOKUP(Tableau68[[#This Row],[Utilisateur prevu]],Tableau3[[Prenoms (ID)]:[CABINET]],3,FALSE)</f>
        <v>MADAFIT</v>
      </c>
      <c r="J45" t="str">
        <f>VLOOKUP(Tableau68[[#This Row],[Utilisateur prevu]],Tableau3[[Prenoms (ID)]:[CABINET]],4,FALSE)</f>
        <v>CPA</v>
      </c>
      <c r="M45" t="s">
        <v>72</v>
      </c>
    </row>
    <row r="46" spans="1:13" hidden="1" x14ac:dyDescent="0.25">
      <c r="A46" s="2">
        <v>45404</v>
      </c>
      <c r="B46" s="27" t="s">
        <v>73</v>
      </c>
      <c r="C46">
        <v>2</v>
      </c>
      <c r="D46" t="s">
        <v>15</v>
      </c>
      <c r="E46" t="s">
        <v>26</v>
      </c>
      <c r="G46" t="s">
        <v>17</v>
      </c>
      <c r="H46">
        <f>VLOOKUP(Tableau68[[#This Row],[Utilisateur prevu]],Tableau3[[Prenoms (ID)]:[CABINET]],2,FALSE)</f>
        <v>0</v>
      </c>
      <c r="I46" t="str">
        <f>VLOOKUP(Tableau68[[#This Row],[Utilisateur prevu]],Tableau3[[Prenoms (ID)]:[CABINET]],3,FALSE)</f>
        <v>MADAFIT</v>
      </c>
      <c r="J46">
        <f>VLOOKUP(Tableau68[[#This Row],[Utilisateur prevu]],Tableau3[[Prenoms (ID)]:[CABINET]],4,FALSE)</f>
        <v>0</v>
      </c>
      <c r="M46" t="s">
        <v>53</v>
      </c>
    </row>
    <row r="47" spans="1:13" hidden="1" x14ac:dyDescent="0.25">
      <c r="A47" s="2">
        <v>45404</v>
      </c>
      <c r="B47" s="27" t="s">
        <v>64</v>
      </c>
      <c r="C47">
        <v>10</v>
      </c>
      <c r="D47" t="s">
        <v>15</v>
      </c>
      <c r="E47" t="s">
        <v>26</v>
      </c>
      <c r="G47" t="s">
        <v>17</v>
      </c>
      <c r="H47">
        <f>VLOOKUP(Tableau68[[#This Row],[Utilisateur prevu]],Tableau3[[Prenoms (ID)]:[CABINET]],2,FALSE)</f>
        <v>0</v>
      </c>
      <c r="I47" t="str">
        <f>VLOOKUP(Tableau68[[#This Row],[Utilisateur prevu]],Tableau3[[Prenoms (ID)]:[CABINET]],3,FALSE)</f>
        <v>MADAFIT</v>
      </c>
      <c r="J47">
        <f>VLOOKUP(Tableau68[[#This Row],[Utilisateur prevu]],Tableau3[[Prenoms (ID)]:[CABINET]],4,FALSE)</f>
        <v>0</v>
      </c>
      <c r="M47" t="s">
        <v>53</v>
      </c>
    </row>
    <row r="48" spans="1:13" hidden="1" x14ac:dyDescent="0.25">
      <c r="A48" s="2">
        <v>45420</v>
      </c>
      <c r="B48" s="27" t="s">
        <v>74</v>
      </c>
      <c r="C48">
        <v>1</v>
      </c>
      <c r="D48" t="s">
        <v>49</v>
      </c>
      <c r="E48" t="s">
        <v>26</v>
      </c>
      <c r="H48" t="e">
        <f>VLOOKUP(Tableau68[[#This Row],[Utilisateur prevu]],Tableau3[[Prenoms (ID)]:[CABINET]],2,FALSE)</f>
        <v>#N/A</v>
      </c>
      <c r="I48" t="e">
        <f>VLOOKUP(Tableau68[[#This Row],[Utilisateur prevu]],Tableau3[[Prenoms (ID)]:[CABINET]],3,FALSE)</f>
        <v>#N/A</v>
      </c>
      <c r="J48" t="e">
        <f>VLOOKUP(Tableau68[[#This Row],[Utilisateur prevu]],Tableau3[[Prenoms (ID)]:[CABINET]],4,FALSE)</f>
        <v>#N/A</v>
      </c>
      <c r="M48" t="s">
        <v>75</v>
      </c>
    </row>
    <row r="49" spans="1:13" hidden="1" x14ac:dyDescent="0.25">
      <c r="A49" s="2">
        <v>45426</v>
      </c>
      <c r="B49" s="27" t="s">
        <v>76</v>
      </c>
      <c r="C49">
        <v>1</v>
      </c>
      <c r="D49" t="s">
        <v>49</v>
      </c>
      <c r="E49" t="s">
        <v>16</v>
      </c>
      <c r="G49" t="s">
        <v>50</v>
      </c>
      <c r="H49">
        <f>VLOOKUP(Tableau68[[#This Row],[Utilisateur prevu]],Tableau3[[Prenoms (ID)]:[CABINET]],2,FALSE)</f>
        <v>0</v>
      </c>
      <c r="I49">
        <f>VLOOKUP(Tableau68[[#This Row],[Utilisateur prevu]],Tableau3[[Prenoms (ID)]:[CABINET]],3,FALSE)</f>
        <v>0</v>
      </c>
      <c r="J49">
        <f>VLOOKUP(Tableau68[[#This Row],[Utilisateur prevu]],Tableau3[[Prenoms (ID)]:[CABINET]],4,FALSE)</f>
        <v>0</v>
      </c>
      <c r="M49" t="s">
        <v>50</v>
      </c>
    </row>
    <row r="50" spans="1:13" x14ac:dyDescent="0.25">
      <c r="A50" s="2">
        <v>45464</v>
      </c>
      <c r="B50" s="27" t="s">
        <v>34</v>
      </c>
      <c r="C50">
        <v>11</v>
      </c>
      <c r="D50" t="s">
        <v>15</v>
      </c>
      <c r="E50" t="s">
        <v>16</v>
      </c>
      <c r="H50" t="e">
        <f>VLOOKUP(Tableau68[[#This Row],[Utilisateur prevu]],Tableau3[[Prenoms (ID)]:[CABINET]],2,FALSE)</f>
        <v>#N/A</v>
      </c>
      <c r="I50" t="e">
        <f>VLOOKUP(Tableau68[[#This Row],[Utilisateur prevu]],Tableau3[[Prenoms (ID)]:[CABINET]],3,FALSE)</f>
        <v>#N/A</v>
      </c>
      <c r="J50" t="e">
        <f>VLOOKUP(Tableau68[[#This Row],[Utilisateur prevu]],Tableau3[[Prenoms (ID)]:[CABINET]],4,FALSE)</f>
        <v>#N/A</v>
      </c>
      <c r="M50" t="s">
        <v>77</v>
      </c>
    </row>
    <row r="51" spans="1:13" hidden="1" x14ac:dyDescent="0.25">
      <c r="A51" s="2">
        <v>45464</v>
      </c>
      <c r="B51" s="27" t="s">
        <v>58</v>
      </c>
      <c r="C51">
        <v>4</v>
      </c>
      <c r="D51" t="s">
        <v>15</v>
      </c>
      <c r="E51" t="s">
        <v>16</v>
      </c>
      <c r="H51" t="e">
        <f>VLOOKUP(Tableau68[[#This Row],[Utilisateur prevu]],Tableau3[[Prenoms (ID)]:[CABINET]],2,FALSE)</f>
        <v>#N/A</v>
      </c>
      <c r="I51" t="e">
        <f>VLOOKUP(Tableau68[[#This Row],[Utilisateur prevu]],Tableau3[[Prenoms (ID)]:[CABINET]],3,FALSE)</f>
        <v>#N/A</v>
      </c>
      <c r="J51" t="e">
        <f>VLOOKUP(Tableau68[[#This Row],[Utilisateur prevu]],Tableau3[[Prenoms (ID)]:[CABINET]],4,FALSE)</f>
        <v>#N/A</v>
      </c>
      <c r="M51" t="s">
        <v>78</v>
      </c>
    </row>
    <row r="52" spans="1:13" hidden="1" x14ac:dyDescent="0.25">
      <c r="A52" s="2">
        <v>45464</v>
      </c>
      <c r="B52" s="27" t="s">
        <v>24</v>
      </c>
      <c r="C52">
        <v>3</v>
      </c>
      <c r="D52" t="s">
        <v>15</v>
      </c>
      <c r="E52" t="s">
        <v>16</v>
      </c>
      <c r="H52" t="e">
        <f>VLOOKUP(Tableau68[[#This Row],[Utilisateur prevu]],Tableau3[[Prenoms (ID)]:[CABINET]],2,FALSE)</f>
        <v>#N/A</v>
      </c>
      <c r="I52" t="e">
        <f>VLOOKUP(Tableau68[[#This Row],[Utilisateur prevu]],Tableau3[[Prenoms (ID)]:[CABINET]],3,FALSE)</f>
        <v>#N/A</v>
      </c>
      <c r="J52" t="e">
        <f>VLOOKUP(Tableau68[[#This Row],[Utilisateur prevu]],Tableau3[[Prenoms (ID)]:[CABINET]],4,FALSE)</f>
        <v>#N/A</v>
      </c>
      <c r="M52" t="s">
        <v>79</v>
      </c>
    </row>
    <row r="53" spans="1:13" hidden="1" x14ac:dyDescent="0.25">
      <c r="A53" s="2">
        <v>45464</v>
      </c>
      <c r="B53" s="27" t="s">
        <v>30</v>
      </c>
      <c r="C53">
        <v>6</v>
      </c>
      <c r="D53" t="s">
        <v>15</v>
      </c>
      <c r="E53" t="s">
        <v>16</v>
      </c>
      <c r="H53" t="e">
        <f>VLOOKUP(Tableau68[[#This Row],[Utilisateur prevu]],Tableau3[[Prenoms (ID)]:[CABINET]],2,FALSE)</f>
        <v>#N/A</v>
      </c>
      <c r="I53" t="e">
        <f>VLOOKUP(Tableau68[[#This Row],[Utilisateur prevu]],Tableau3[[Prenoms (ID)]:[CABINET]],3,FALSE)</f>
        <v>#N/A</v>
      </c>
      <c r="J53" t="e">
        <f>VLOOKUP(Tableau68[[#This Row],[Utilisateur prevu]],Tableau3[[Prenoms (ID)]:[CABINET]],4,FALSE)</f>
        <v>#N/A</v>
      </c>
      <c r="M53" t="s">
        <v>80</v>
      </c>
    </row>
    <row r="54" spans="1:13" hidden="1" x14ac:dyDescent="0.25">
      <c r="A54" s="2">
        <v>45464</v>
      </c>
      <c r="B54" s="27" t="s">
        <v>22</v>
      </c>
      <c r="C54">
        <v>4</v>
      </c>
      <c r="D54" t="s">
        <v>15</v>
      </c>
      <c r="E54" t="s">
        <v>16</v>
      </c>
      <c r="H54" t="e">
        <f>VLOOKUP(Tableau68[[#This Row],[Utilisateur prevu]],Tableau3[[Prenoms (ID)]:[CABINET]],2,FALSE)</f>
        <v>#N/A</v>
      </c>
      <c r="I54" t="e">
        <f>VLOOKUP(Tableau68[[#This Row],[Utilisateur prevu]],Tableau3[[Prenoms (ID)]:[CABINET]],3,FALSE)</f>
        <v>#N/A</v>
      </c>
      <c r="J54" t="e">
        <f>VLOOKUP(Tableau68[[#This Row],[Utilisateur prevu]],Tableau3[[Prenoms (ID)]:[CABINET]],4,FALSE)</f>
        <v>#N/A</v>
      </c>
      <c r="M54" t="s">
        <v>81</v>
      </c>
    </row>
    <row r="55" spans="1:13" hidden="1" x14ac:dyDescent="0.25">
      <c r="A55" s="2">
        <v>45464</v>
      </c>
      <c r="B55" s="27" t="s">
        <v>82</v>
      </c>
      <c r="C55">
        <v>5</v>
      </c>
      <c r="D55" t="s">
        <v>15</v>
      </c>
      <c r="E55" t="s">
        <v>16</v>
      </c>
      <c r="H55" t="e">
        <f>VLOOKUP(Tableau68[[#This Row],[Utilisateur prevu]],Tableau3[[Prenoms (ID)]:[CABINET]],2,FALSE)</f>
        <v>#N/A</v>
      </c>
      <c r="I55" t="e">
        <f>VLOOKUP(Tableau68[[#This Row],[Utilisateur prevu]],Tableau3[[Prenoms (ID)]:[CABINET]],3,FALSE)</f>
        <v>#N/A</v>
      </c>
      <c r="J55" t="e">
        <f>VLOOKUP(Tableau68[[#This Row],[Utilisateur prevu]],Tableau3[[Prenoms (ID)]:[CABINET]],4,FALSE)</f>
        <v>#N/A</v>
      </c>
      <c r="M55" t="s">
        <v>83</v>
      </c>
    </row>
    <row r="56" spans="1:13" hidden="1" x14ac:dyDescent="0.25">
      <c r="A56" s="2">
        <v>45464</v>
      </c>
      <c r="B56" s="27" t="s">
        <v>25</v>
      </c>
      <c r="C56">
        <v>2</v>
      </c>
      <c r="D56" t="s">
        <v>15</v>
      </c>
      <c r="E56" t="s">
        <v>16</v>
      </c>
      <c r="G56" t="s">
        <v>17</v>
      </c>
      <c r="H56">
        <f>VLOOKUP(Tableau68[[#This Row],[Utilisateur prevu]],Tableau3[[Prenoms (ID)]:[CABINET]],2,FALSE)</f>
        <v>0</v>
      </c>
      <c r="I56" t="str">
        <f>VLOOKUP(Tableau68[[#This Row],[Utilisateur prevu]],Tableau3[[Prenoms (ID)]:[CABINET]],3,FALSE)</f>
        <v>MADAFIT</v>
      </c>
      <c r="J56">
        <f>VLOOKUP(Tableau68[[#This Row],[Utilisateur prevu]],Tableau3[[Prenoms (ID)]:[CABINET]],4,FALSE)</f>
        <v>0</v>
      </c>
      <c r="M56" t="s">
        <v>53</v>
      </c>
    </row>
    <row r="57" spans="1:13" hidden="1" x14ac:dyDescent="0.25">
      <c r="A57" s="2">
        <v>45464</v>
      </c>
      <c r="B57" s="27" t="s">
        <v>84</v>
      </c>
      <c r="C57">
        <v>5</v>
      </c>
      <c r="D57" t="s">
        <v>15</v>
      </c>
      <c r="E57" t="s">
        <v>16</v>
      </c>
      <c r="H57" t="e">
        <f>VLOOKUP(Tableau68[[#This Row],[Utilisateur prevu]],Tableau3[[Prenoms (ID)]:[CABINET]],2,FALSE)</f>
        <v>#N/A</v>
      </c>
      <c r="I57" t="e">
        <f>VLOOKUP(Tableau68[[#This Row],[Utilisateur prevu]],Tableau3[[Prenoms (ID)]:[CABINET]],3,FALSE)</f>
        <v>#N/A</v>
      </c>
      <c r="J57" t="e">
        <f>VLOOKUP(Tableau68[[#This Row],[Utilisateur prevu]],Tableau3[[Prenoms (ID)]:[CABINET]],4,FALSE)</f>
        <v>#N/A</v>
      </c>
      <c r="M57" t="s">
        <v>85</v>
      </c>
    </row>
    <row r="58" spans="1:13" x14ac:dyDescent="0.25">
      <c r="A58" s="2">
        <v>45464</v>
      </c>
      <c r="B58" s="27" t="s">
        <v>34</v>
      </c>
      <c r="C58">
        <v>4</v>
      </c>
      <c r="D58" t="s">
        <v>15</v>
      </c>
      <c r="E58" t="s">
        <v>26</v>
      </c>
      <c r="H58" t="e">
        <f>VLOOKUP(Tableau68[[#This Row],[Utilisateur prevu]],Tableau3[[Prenoms (ID)]:[CABINET]],2,FALSE)</f>
        <v>#N/A</v>
      </c>
      <c r="I58" t="e">
        <f>VLOOKUP(Tableau68[[#This Row],[Utilisateur prevu]],Tableau3[[Prenoms (ID)]:[CABINET]],3,FALSE)</f>
        <v>#N/A</v>
      </c>
      <c r="J58" t="e">
        <f>VLOOKUP(Tableau68[[#This Row],[Utilisateur prevu]],Tableau3[[Prenoms (ID)]:[CABINET]],4,FALSE)</f>
        <v>#N/A</v>
      </c>
      <c r="M58" t="s">
        <v>86</v>
      </c>
    </row>
    <row r="59" spans="1:13" x14ac:dyDescent="0.25">
      <c r="A59" s="2">
        <v>45464</v>
      </c>
      <c r="B59" s="27" t="s">
        <v>34</v>
      </c>
      <c r="C59">
        <v>1</v>
      </c>
      <c r="D59" t="s">
        <v>49</v>
      </c>
      <c r="E59" t="s">
        <v>26</v>
      </c>
      <c r="G59" t="s">
        <v>87</v>
      </c>
      <c r="H59" t="str">
        <f>VLOOKUP(Tableau68[[#This Row],[Utilisateur prevu]],Tableau3[[Prenoms (ID)]:[CABINET]],2,FALSE)</f>
        <v>Accefi</v>
      </c>
      <c r="I59" t="str">
        <f>VLOOKUP(Tableau68[[#This Row],[Utilisateur prevu]],Tableau3[[Prenoms (ID)]:[CABINET]],3,FALSE)</f>
        <v>ACCEFI</v>
      </c>
      <c r="J59" t="str">
        <f>VLOOKUP(Tableau68[[#This Row],[Utilisateur prevu]],Tableau3[[Prenoms (ID)]:[CABINET]],4,FALSE)</f>
        <v>CPA</v>
      </c>
      <c r="M59" t="s">
        <v>88</v>
      </c>
    </row>
    <row r="60" spans="1:13" hidden="1" x14ac:dyDescent="0.25">
      <c r="A60" s="2">
        <v>45464</v>
      </c>
      <c r="B60" s="27" t="s">
        <v>58</v>
      </c>
      <c r="C60">
        <v>3</v>
      </c>
      <c r="D60" t="s">
        <v>15</v>
      </c>
      <c r="E60" t="s">
        <v>26</v>
      </c>
      <c r="G60" t="s">
        <v>27</v>
      </c>
      <c r="H60">
        <f>VLOOKUP(Tableau68[[#This Row],[Utilisateur prevu]],Tableau3[[Prenoms (ID)]:[CABINET]],2,FALSE)</f>
        <v>0</v>
      </c>
      <c r="I60" t="str">
        <f>VLOOKUP(Tableau68[[#This Row],[Utilisateur prevu]],Tableau3[[Prenoms (ID)]:[CABINET]],3,FALSE)</f>
        <v>BIRA</v>
      </c>
      <c r="J60" t="str">
        <f>VLOOKUP(Tableau68[[#This Row],[Utilisateur prevu]],Tableau3[[Prenoms (ID)]:[CABINET]],4,FALSE)</f>
        <v>CPA</v>
      </c>
      <c r="M60" t="s">
        <v>89</v>
      </c>
    </row>
    <row r="61" spans="1:13" hidden="1" x14ac:dyDescent="0.25">
      <c r="A61" s="2">
        <v>45464</v>
      </c>
      <c r="B61" s="27" t="s">
        <v>24</v>
      </c>
      <c r="C61">
        <v>3</v>
      </c>
      <c r="D61" t="s">
        <v>15</v>
      </c>
      <c r="E61" t="s">
        <v>26</v>
      </c>
      <c r="H61" t="e">
        <f>VLOOKUP(Tableau68[[#This Row],[Utilisateur prevu]],Tableau3[[Prenoms (ID)]:[CABINET]],2,FALSE)</f>
        <v>#N/A</v>
      </c>
      <c r="I61" t="e">
        <f>VLOOKUP(Tableau68[[#This Row],[Utilisateur prevu]],Tableau3[[Prenoms (ID)]:[CABINET]],3,FALSE)</f>
        <v>#N/A</v>
      </c>
      <c r="J61" t="e">
        <f>VLOOKUP(Tableau68[[#This Row],[Utilisateur prevu]],Tableau3[[Prenoms (ID)]:[CABINET]],4,FALSE)</f>
        <v>#N/A</v>
      </c>
      <c r="M61" t="s">
        <v>90</v>
      </c>
    </row>
    <row r="62" spans="1:13" hidden="1" x14ac:dyDescent="0.25">
      <c r="A62" s="2">
        <v>45464</v>
      </c>
      <c r="B62" s="27" t="s">
        <v>91</v>
      </c>
      <c r="C62">
        <v>2</v>
      </c>
      <c r="D62" t="s">
        <v>15</v>
      </c>
      <c r="E62" t="s">
        <v>26</v>
      </c>
      <c r="G62" t="s">
        <v>27</v>
      </c>
      <c r="H62">
        <f>VLOOKUP(Tableau68[[#This Row],[Utilisateur prevu]],Tableau3[[Prenoms (ID)]:[CABINET]],2,FALSE)</f>
        <v>0</v>
      </c>
      <c r="I62" t="str">
        <f>VLOOKUP(Tableau68[[#This Row],[Utilisateur prevu]],Tableau3[[Prenoms (ID)]:[CABINET]],3,FALSE)</f>
        <v>BIRA</v>
      </c>
      <c r="J62" t="str">
        <f>VLOOKUP(Tableau68[[#This Row],[Utilisateur prevu]],Tableau3[[Prenoms (ID)]:[CABINET]],4,FALSE)</f>
        <v>CPA</v>
      </c>
      <c r="M62" t="s">
        <v>89</v>
      </c>
    </row>
    <row r="63" spans="1:13" hidden="1" x14ac:dyDescent="0.25">
      <c r="A63" s="2">
        <v>45464</v>
      </c>
      <c r="B63" s="27" t="s">
        <v>30</v>
      </c>
      <c r="C63">
        <v>4</v>
      </c>
      <c r="D63" t="s">
        <v>15</v>
      </c>
      <c r="E63" t="s">
        <v>26</v>
      </c>
      <c r="H63" t="e">
        <f>VLOOKUP(Tableau68[[#This Row],[Utilisateur prevu]],Tableau3[[Prenoms (ID)]:[CABINET]],2,FALSE)</f>
        <v>#N/A</v>
      </c>
      <c r="I63" t="e">
        <f>VLOOKUP(Tableau68[[#This Row],[Utilisateur prevu]],Tableau3[[Prenoms (ID)]:[CABINET]],3,FALSE)</f>
        <v>#N/A</v>
      </c>
      <c r="J63" t="e">
        <f>VLOOKUP(Tableau68[[#This Row],[Utilisateur prevu]],Tableau3[[Prenoms (ID)]:[CABINET]],4,FALSE)</f>
        <v>#N/A</v>
      </c>
      <c r="M63" t="s">
        <v>92</v>
      </c>
    </row>
    <row r="64" spans="1:13" hidden="1" x14ac:dyDescent="0.25">
      <c r="A64" s="2">
        <v>45464</v>
      </c>
      <c r="B64" s="27" t="s">
        <v>82</v>
      </c>
      <c r="C64">
        <v>5</v>
      </c>
      <c r="D64" t="s">
        <v>15</v>
      </c>
      <c r="E64" t="s">
        <v>26</v>
      </c>
      <c r="H64" t="e">
        <f>VLOOKUP(Tableau68[[#This Row],[Utilisateur prevu]],Tableau3[[Prenoms (ID)]:[CABINET]],2,FALSE)</f>
        <v>#N/A</v>
      </c>
      <c r="I64" t="e">
        <f>VLOOKUP(Tableau68[[#This Row],[Utilisateur prevu]],Tableau3[[Prenoms (ID)]:[CABINET]],3,FALSE)</f>
        <v>#N/A</v>
      </c>
      <c r="J64" t="e">
        <f>VLOOKUP(Tableau68[[#This Row],[Utilisateur prevu]],Tableau3[[Prenoms (ID)]:[CABINET]],4,FALSE)</f>
        <v>#N/A</v>
      </c>
      <c r="M64" t="s">
        <v>93</v>
      </c>
    </row>
    <row r="65" spans="1:13" hidden="1" x14ac:dyDescent="0.25">
      <c r="A65" s="2">
        <v>45464</v>
      </c>
      <c r="B65" s="27" t="s">
        <v>25</v>
      </c>
      <c r="C65">
        <v>2</v>
      </c>
      <c r="D65" t="s">
        <v>15</v>
      </c>
      <c r="E65" t="s">
        <v>26</v>
      </c>
      <c r="H65" t="e">
        <f>VLOOKUP(Tableau68[[#This Row],[Utilisateur prevu]],Tableau3[[Prenoms (ID)]:[CABINET]],2,FALSE)</f>
        <v>#N/A</v>
      </c>
      <c r="I65" t="e">
        <f>VLOOKUP(Tableau68[[#This Row],[Utilisateur prevu]],Tableau3[[Prenoms (ID)]:[CABINET]],3,FALSE)</f>
        <v>#N/A</v>
      </c>
      <c r="J65" t="e">
        <f>VLOOKUP(Tableau68[[#This Row],[Utilisateur prevu]],Tableau3[[Prenoms (ID)]:[CABINET]],4,FALSE)</f>
        <v>#N/A</v>
      </c>
      <c r="M65" t="s">
        <v>94</v>
      </c>
    </row>
    <row r="66" spans="1:13" hidden="1" x14ac:dyDescent="0.25">
      <c r="A66" s="2">
        <v>45464</v>
      </c>
      <c r="B66" s="27" t="s">
        <v>52</v>
      </c>
      <c r="C66">
        <v>20</v>
      </c>
      <c r="D66" t="s">
        <v>15</v>
      </c>
      <c r="E66" t="s">
        <v>16</v>
      </c>
      <c r="H66" t="e">
        <f>VLOOKUP(Tableau68[[#This Row],[Utilisateur prevu]],Tableau3[[Prenoms (ID)]:[CABINET]],2,FALSE)</f>
        <v>#N/A</v>
      </c>
      <c r="I66" t="e">
        <f>VLOOKUP(Tableau68[[#This Row],[Utilisateur prevu]],Tableau3[[Prenoms (ID)]:[CABINET]],3,FALSE)</f>
        <v>#N/A</v>
      </c>
      <c r="J66" t="e">
        <f>VLOOKUP(Tableau68[[#This Row],[Utilisateur prevu]],Tableau3[[Prenoms (ID)]:[CABINET]],4,FALSE)</f>
        <v>#N/A</v>
      </c>
    </row>
    <row r="67" spans="1:13" hidden="1" x14ac:dyDescent="0.25">
      <c r="A67" s="2">
        <v>45464</v>
      </c>
      <c r="B67" s="27" t="s">
        <v>54</v>
      </c>
      <c r="C67">
        <v>20</v>
      </c>
      <c r="D67" t="s">
        <v>15</v>
      </c>
      <c r="E67" t="s">
        <v>16</v>
      </c>
      <c r="H67" t="e">
        <f>VLOOKUP(Tableau68[[#This Row],[Utilisateur prevu]],Tableau3[[Prenoms (ID)]:[CABINET]],2,FALSE)</f>
        <v>#N/A</v>
      </c>
      <c r="I67" t="e">
        <f>VLOOKUP(Tableau68[[#This Row],[Utilisateur prevu]],Tableau3[[Prenoms (ID)]:[CABINET]],3,FALSE)</f>
        <v>#N/A</v>
      </c>
      <c r="J67" t="e">
        <f>VLOOKUP(Tableau68[[#This Row],[Utilisateur prevu]],Tableau3[[Prenoms (ID)]:[CABINET]],4,FALSE)</f>
        <v>#N/A</v>
      </c>
    </row>
    <row r="68" spans="1:13" hidden="1" x14ac:dyDescent="0.25">
      <c r="A68" s="2">
        <v>45464</v>
      </c>
      <c r="B68" s="27" t="s">
        <v>52</v>
      </c>
      <c r="C68">
        <v>20</v>
      </c>
      <c r="D68" t="s">
        <v>15</v>
      </c>
      <c r="E68" t="s">
        <v>26</v>
      </c>
      <c r="H68" t="e">
        <f>VLOOKUP(Tableau68[[#This Row],[Utilisateur prevu]],Tableau3[[Prenoms (ID)]:[CABINET]],2,FALSE)</f>
        <v>#N/A</v>
      </c>
      <c r="I68" t="e">
        <f>VLOOKUP(Tableau68[[#This Row],[Utilisateur prevu]],Tableau3[[Prenoms (ID)]:[CABINET]],3,FALSE)</f>
        <v>#N/A</v>
      </c>
      <c r="J68" t="e">
        <f>VLOOKUP(Tableau68[[#This Row],[Utilisateur prevu]],Tableau3[[Prenoms (ID)]:[CABINET]],4,FALSE)</f>
        <v>#N/A</v>
      </c>
    </row>
    <row r="69" spans="1:13" hidden="1" x14ac:dyDescent="0.25">
      <c r="A69" s="2">
        <v>45464</v>
      </c>
      <c r="B69" s="27" t="s">
        <v>54</v>
      </c>
      <c r="C69">
        <v>20</v>
      </c>
      <c r="D69" t="s">
        <v>15</v>
      </c>
      <c r="E69" t="s">
        <v>26</v>
      </c>
      <c r="H69" t="e">
        <f>VLOOKUP(Tableau68[[#This Row],[Utilisateur prevu]],Tableau3[[Prenoms (ID)]:[CABINET]],2,FALSE)</f>
        <v>#N/A</v>
      </c>
      <c r="I69" t="e">
        <f>VLOOKUP(Tableau68[[#This Row],[Utilisateur prevu]],Tableau3[[Prenoms (ID)]:[CABINET]],3,FALSE)</f>
        <v>#N/A</v>
      </c>
      <c r="J69" t="e">
        <f>VLOOKUP(Tableau68[[#This Row],[Utilisateur prevu]],Tableau3[[Prenoms (ID)]:[CABINET]],4,FALSE)</f>
        <v>#N/A</v>
      </c>
    </row>
    <row r="70" spans="1:13" hidden="1" x14ac:dyDescent="0.25">
      <c r="A70" s="2">
        <v>45464</v>
      </c>
      <c r="B70" s="27" t="s">
        <v>24</v>
      </c>
      <c r="C70">
        <v>3</v>
      </c>
      <c r="D70" t="s">
        <v>15</v>
      </c>
      <c r="E70" t="s">
        <v>16</v>
      </c>
      <c r="H70" t="e">
        <f>VLOOKUP(Tableau68[[#This Row],[Utilisateur prevu]],Tableau3[[Prenoms (ID)]:[CABINET]],2,FALSE)</f>
        <v>#N/A</v>
      </c>
      <c r="I70" t="e">
        <f>VLOOKUP(Tableau68[[#This Row],[Utilisateur prevu]],Tableau3[[Prenoms (ID)]:[CABINET]],3,FALSE)</f>
        <v>#N/A</v>
      </c>
      <c r="J70" t="e">
        <f>VLOOKUP(Tableau68[[#This Row],[Utilisateur prevu]],Tableau3[[Prenoms (ID)]:[CABINET]],4,FALSE)</f>
        <v>#N/A</v>
      </c>
      <c r="M70" t="s">
        <v>95</v>
      </c>
    </row>
    <row r="71" spans="1:13" hidden="1" x14ac:dyDescent="0.25">
      <c r="A71" s="2">
        <v>45464</v>
      </c>
      <c r="B71" s="27" t="s">
        <v>96</v>
      </c>
      <c r="C71">
        <v>1</v>
      </c>
      <c r="D71" t="s">
        <v>49</v>
      </c>
      <c r="E71" t="s">
        <v>16</v>
      </c>
      <c r="G71" t="s">
        <v>97</v>
      </c>
      <c r="H71" t="str">
        <f>VLOOKUP(Tableau68[[#This Row],[Utilisateur prevu]],Tableau3[[Prenoms (ID)]:[CABINET]],2,FALSE)</f>
        <v>Info/Dev</v>
      </c>
      <c r="I71" t="str">
        <f>VLOOKUP(Tableau68[[#This Row],[Utilisateur prevu]],Tableau3[[Prenoms (ID)]:[CABINET]],3,FALSE)</f>
        <v>Informatique</v>
      </c>
      <c r="J71">
        <f>VLOOKUP(Tableau68[[#This Row],[Utilisateur prevu]],Tableau3[[Prenoms (ID)]:[CABINET]],4,FALSE)</f>
        <v>0</v>
      </c>
      <c r="M71" t="s">
        <v>98</v>
      </c>
    </row>
    <row r="72" spans="1:13" hidden="1" x14ac:dyDescent="0.25">
      <c r="A72" s="2">
        <v>45464</v>
      </c>
      <c r="B72" s="27" t="s">
        <v>99</v>
      </c>
      <c r="C72">
        <v>1</v>
      </c>
      <c r="D72" t="s">
        <v>49</v>
      </c>
      <c r="E72" t="s">
        <v>16</v>
      </c>
      <c r="G72" t="s">
        <v>100</v>
      </c>
      <c r="H72" t="str">
        <f>VLOOKUP(Tableau68[[#This Row],[Utilisateur prevu]],Tableau3[[Prenoms (ID)]:[CABINET]],2,FALSE)</f>
        <v>Optique / Sata</v>
      </c>
      <c r="I72" t="str">
        <f>VLOOKUP(Tableau68[[#This Row],[Utilisateur prevu]],Tableau3[[Prenoms (ID)]:[CABINET]],3,FALSE)</f>
        <v>BNI1</v>
      </c>
      <c r="J72">
        <f>VLOOKUP(Tableau68[[#This Row],[Utilisateur prevu]],Tableau3[[Prenoms (ID)]:[CABINET]],4,FALSE)</f>
        <v>0</v>
      </c>
      <c r="M72" t="s">
        <v>101</v>
      </c>
    </row>
    <row r="73" spans="1:13" hidden="1" x14ac:dyDescent="0.25">
      <c r="A73" s="2">
        <v>45464</v>
      </c>
      <c r="B73" s="27" t="s">
        <v>30</v>
      </c>
      <c r="C73">
        <v>1</v>
      </c>
      <c r="D73" t="s">
        <v>49</v>
      </c>
      <c r="E73" t="s">
        <v>16</v>
      </c>
      <c r="G73" t="s">
        <v>102</v>
      </c>
      <c r="H73" t="str">
        <f>VLOOKUP(Tableau68[[#This Row],[Utilisateur prevu]],Tableau3[[Prenoms (ID)]:[CABINET]],2,FALSE)</f>
        <v>Impulsa</v>
      </c>
      <c r="I73" t="str">
        <f>VLOOKUP(Tableau68[[#This Row],[Utilisateur prevu]],Tableau3[[Prenoms (ID)]:[CABINET]],3,FALSE)</f>
        <v>BNI2</v>
      </c>
      <c r="J73">
        <f>VLOOKUP(Tableau68[[#This Row],[Utilisateur prevu]],Tableau3[[Prenoms (ID)]:[CABINET]],4,FALSE)</f>
        <v>0</v>
      </c>
      <c r="M73" t="s">
        <v>103</v>
      </c>
    </row>
    <row r="74" spans="1:13" hidden="1" x14ac:dyDescent="0.25">
      <c r="A74" s="2">
        <v>45464</v>
      </c>
      <c r="B74" s="27" t="s">
        <v>84</v>
      </c>
      <c r="C74">
        <v>5</v>
      </c>
      <c r="D74" t="s">
        <v>15</v>
      </c>
      <c r="E74" t="s">
        <v>16</v>
      </c>
      <c r="H74" t="e">
        <f>VLOOKUP(Tableau68[[#This Row],[Utilisateur prevu]],Tableau3[[Prenoms (ID)]:[CABINET]],2,FALSE)</f>
        <v>#N/A</v>
      </c>
      <c r="I74" t="e">
        <f>VLOOKUP(Tableau68[[#This Row],[Utilisateur prevu]],Tableau3[[Prenoms (ID)]:[CABINET]],3,FALSE)</f>
        <v>#N/A</v>
      </c>
      <c r="J74" t="e">
        <f>VLOOKUP(Tableau68[[#This Row],[Utilisateur prevu]],Tableau3[[Prenoms (ID)]:[CABINET]],4,FALSE)</f>
        <v>#N/A</v>
      </c>
      <c r="M74" t="s">
        <v>104</v>
      </c>
    </row>
    <row r="75" spans="1:13" hidden="1" x14ac:dyDescent="0.25">
      <c r="A75" s="2">
        <v>45464</v>
      </c>
      <c r="B75" s="27" t="s">
        <v>96</v>
      </c>
      <c r="C75">
        <v>1</v>
      </c>
      <c r="D75" t="s">
        <v>15</v>
      </c>
      <c r="E75" t="s">
        <v>105</v>
      </c>
      <c r="H75" t="e">
        <f>VLOOKUP(Tableau68[[#This Row],[Utilisateur prevu]],Tableau3[[Prenoms (ID)]:[CABINET]],2,FALSE)</f>
        <v>#N/A</v>
      </c>
      <c r="I75" t="e">
        <f>VLOOKUP(Tableau68[[#This Row],[Utilisateur prevu]],Tableau3[[Prenoms (ID)]:[CABINET]],3,FALSE)</f>
        <v>#N/A</v>
      </c>
      <c r="J75" t="e">
        <f>VLOOKUP(Tableau68[[#This Row],[Utilisateur prevu]],Tableau3[[Prenoms (ID)]:[CABINET]],4,FALSE)</f>
        <v>#N/A</v>
      </c>
      <c r="M75" t="s">
        <v>106</v>
      </c>
    </row>
    <row r="76" spans="1:13" hidden="1" x14ac:dyDescent="0.25">
      <c r="A76" s="2">
        <v>45464</v>
      </c>
      <c r="B76" s="27" t="s">
        <v>24</v>
      </c>
      <c r="C76">
        <v>3</v>
      </c>
      <c r="D76" t="s">
        <v>15</v>
      </c>
      <c r="E76" t="s">
        <v>105</v>
      </c>
      <c r="H76" t="e">
        <f>VLOOKUP(Tableau68[[#This Row],[Utilisateur prevu]],Tableau3[[Prenoms (ID)]:[CABINET]],2,FALSE)</f>
        <v>#N/A</v>
      </c>
      <c r="I76" t="e">
        <f>VLOOKUP(Tableau68[[#This Row],[Utilisateur prevu]],Tableau3[[Prenoms (ID)]:[CABINET]],3,FALSE)</f>
        <v>#N/A</v>
      </c>
      <c r="J76" t="e">
        <f>VLOOKUP(Tableau68[[#This Row],[Utilisateur prevu]],Tableau3[[Prenoms (ID)]:[CABINET]],4,FALSE)</f>
        <v>#N/A</v>
      </c>
      <c r="M76" t="s">
        <v>107</v>
      </c>
    </row>
    <row r="77" spans="1:13" hidden="1" x14ac:dyDescent="0.25">
      <c r="A77" s="2">
        <v>45464</v>
      </c>
      <c r="B77" s="27" t="s">
        <v>84</v>
      </c>
      <c r="C77">
        <v>2</v>
      </c>
      <c r="D77" t="s">
        <v>15</v>
      </c>
      <c r="E77" t="s">
        <v>105</v>
      </c>
      <c r="H77" t="e">
        <f>VLOOKUP(Tableau68[[#This Row],[Utilisateur prevu]],Tableau3[[Prenoms (ID)]:[CABINET]],2,FALSE)</f>
        <v>#N/A</v>
      </c>
      <c r="I77" t="e">
        <f>VLOOKUP(Tableau68[[#This Row],[Utilisateur prevu]],Tableau3[[Prenoms (ID)]:[CABINET]],3,FALSE)</f>
        <v>#N/A</v>
      </c>
      <c r="J77" t="e">
        <f>VLOOKUP(Tableau68[[#This Row],[Utilisateur prevu]],Tableau3[[Prenoms (ID)]:[CABINET]],4,FALSE)</f>
        <v>#N/A</v>
      </c>
      <c r="M77" t="s">
        <v>108</v>
      </c>
    </row>
    <row r="78" spans="1:13" x14ac:dyDescent="0.25">
      <c r="A78" s="2">
        <v>45544</v>
      </c>
      <c r="B78" s="27" t="s">
        <v>34</v>
      </c>
      <c r="C78">
        <v>3</v>
      </c>
      <c r="D78" t="s">
        <v>15</v>
      </c>
      <c r="E78" t="s">
        <v>16</v>
      </c>
      <c r="H78" t="e">
        <f>VLOOKUP(Tableau68[[#This Row],[Utilisateur prevu]],Tableau3[[Prenoms (ID)]:[CABINET]],2,FALSE)</f>
        <v>#N/A</v>
      </c>
      <c r="I78" t="e">
        <f>VLOOKUP(Tableau68[[#This Row],[Utilisateur prevu]],Tableau3[[Prenoms (ID)]:[CABINET]],3,FALSE)</f>
        <v>#N/A</v>
      </c>
      <c r="J78" t="e">
        <f>VLOOKUP(Tableau68[[#This Row],[Utilisateur prevu]],Tableau3[[Prenoms (ID)]:[CABINET]],4,FALSE)</f>
        <v>#N/A</v>
      </c>
      <c r="M78" t="s">
        <v>109</v>
      </c>
    </row>
    <row r="79" spans="1:13" x14ac:dyDescent="0.25">
      <c r="A79" s="2">
        <v>45544</v>
      </c>
      <c r="B79" s="27" t="s">
        <v>34</v>
      </c>
      <c r="C79">
        <v>2</v>
      </c>
      <c r="D79" t="s">
        <v>15</v>
      </c>
      <c r="E79" t="s">
        <v>105</v>
      </c>
      <c r="H79" t="e">
        <f>VLOOKUP(Tableau68[[#This Row],[Utilisateur prevu]],Tableau3[[Prenoms (ID)]:[CABINET]],2,FALSE)</f>
        <v>#N/A</v>
      </c>
      <c r="I79" t="e">
        <f>VLOOKUP(Tableau68[[#This Row],[Utilisateur prevu]],Tableau3[[Prenoms (ID)]:[CABINET]],3,FALSE)</f>
        <v>#N/A</v>
      </c>
      <c r="J79" t="e">
        <f>VLOOKUP(Tableau68[[#This Row],[Utilisateur prevu]],Tableau3[[Prenoms (ID)]:[CABINET]],4,FALSE)</f>
        <v>#N/A</v>
      </c>
      <c r="M79" t="s">
        <v>110</v>
      </c>
    </row>
    <row r="80" spans="1:13" x14ac:dyDescent="0.25">
      <c r="A80" s="2">
        <v>45544</v>
      </c>
      <c r="B80" s="27" t="s">
        <v>34</v>
      </c>
      <c r="C80">
        <v>2</v>
      </c>
      <c r="D80" t="s">
        <v>15</v>
      </c>
      <c r="E80" t="s">
        <v>105</v>
      </c>
      <c r="H80" t="e">
        <f>VLOOKUP(Tableau68[[#This Row],[Utilisateur prevu]],Tableau3[[Prenoms (ID)]:[CABINET]],2,FALSE)</f>
        <v>#N/A</v>
      </c>
      <c r="I80" t="e">
        <f>VLOOKUP(Tableau68[[#This Row],[Utilisateur prevu]],Tableau3[[Prenoms (ID)]:[CABINET]],3,FALSE)</f>
        <v>#N/A</v>
      </c>
      <c r="J80" t="e">
        <f>VLOOKUP(Tableau68[[#This Row],[Utilisateur prevu]],Tableau3[[Prenoms (ID)]:[CABINET]],4,FALSE)</f>
        <v>#N/A</v>
      </c>
      <c r="M80" t="s">
        <v>111</v>
      </c>
    </row>
    <row r="81" spans="1:13" hidden="1" x14ac:dyDescent="0.25">
      <c r="A81" s="2">
        <v>45544</v>
      </c>
      <c r="B81" s="27" t="s">
        <v>52</v>
      </c>
      <c r="C81">
        <v>30</v>
      </c>
      <c r="D81" t="s">
        <v>15</v>
      </c>
      <c r="E81" t="s">
        <v>16</v>
      </c>
      <c r="H81" t="e">
        <f>VLOOKUP(Tableau68[[#This Row],[Utilisateur prevu]],Tableau3[[Prenoms (ID)]:[CABINET]],2,FALSE)</f>
        <v>#N/A</v>
      </c>
      <c r="I81" t="e">
        <f>VLOOKUP(Tableau68[[#This Row],[Utilisateur prevu]],Tableau3[[Prenoms (ID)]:[CABINET]],3,FALSE)</f>
        <v>#N/A</v>
      </c>
      <c r="J81" t="e">
        <f>VLOOKUP(Tableau68[[#This Row],[Utilisateur prevu]],Tableau3[[Prenoms (ID)]:[CABINET]],4,FALSE)</f>
        <v>#N/A</v>
      </c>
    </row>
    <row r="82" spans="1:13" hidden="1" x14ac:dyDescent="0.25">
      <c r="A82" s="2">
        <v>45544</v>
      </c>
      <c r="B82" s="27" t="s">
        <v>52</v>
      </c>
      <c r="C82">
        <v>20</v>
      </c>
      <c r="D82" t="s">
        <v>15</v>
      </c>
      <c r="E82" t="s">
        <v>105</v>
      </c>
      <c r="H82" t="e">
        <f>VLOOKUP(Tableau68[[#This Row],[Utilisateur prevu]],Tableau3[[Prenoms (ID)]:[CABINET]],2,FALSE)</f>
        <v>#N/A</v>
      </c>
      <c r="I82" t="e">
        <f>VLOOKUP(Tableau68[[#This Row],[Utilisateur prevu]],Tableau3[[Prenoms (ID)]:[CABINET]],3,FALSE)</f>
        <v>#N/A</v>
      </c>
      <c r="J82" t="e">
        <f>VLOOKUP(Tableau68[[#This Row],[Utilisateur prevu]],Tableau3[[Prenoms (ID)]:[CABINET]],4,FALSE)</f>
        <v>#N/A</v>
      </c>
    </row>
    <row r="83" spans="1:13" hidden="1" x14ac:dyDescent="0.25">
      <c r="A83" s="2">
        <v>45587</v>
      </c>
      <c r="B83" s="27" t="s">
        <v>112</v>
      </c>
      <c r="C83">
        <v>1</v>
      </c>
      <c r="D83" t="s">
        <v>49</v>
      </c>
      <c r="E83" t="s">
        <v>16</v>
      </c>
      <c r="H83" t="e">
        <f>VLOOKUP(Tableau68[[#This Row],[Utilisateur prevu]],Tableau3[[Prenoms (ID)]:[CABINET]],2,FALSE)</f>
        <v>#N/A</v>
      </c>
      <c r="I83" t="e">
        <f>VLOOKUP(Tableau68[[#This Row],[Utilisateur prevu]],Tableau3[[Prenoms (ID)]:[CABINET]],3,FALSE)</f>
        <v>#N/A</v>
      </c>
      <c r="J83" t="e">
        <f>VLOOKUP(Tableau68[[#This Row],[Utilisateur prevu]],Tableau3[[Prenoms (ID)]:[CABINET]],4,FALSE)</f>
        <v>#N/A</v>
      </c>
      <c r="M83" t="s">
        <v>113</v>
      </c>
    </row>
    <row r="84" spans="1:13" hidden="1" x14ac:dyDescent="0.25">
      <c r="A84" s="2">
        <v>45587</v>
      </c>
      <c r="B84" s="27" t="s">
        <v>114</v>
      </c>
      <c r="C84">
        <v>3</v>
      </c>
      <c r="D84" t="s">
        <v>15</v>
      </c>
      <c r="E84" t="s">
        <v>16</v>
      </c>
      <c r="H84" t="e">
        <f>VLOOKUP(Tableau68[[#This Row],[Utilisateur prevu]],Tableau3[[Prenoms (ID)]:[CABINET]],2,FALSE)</f>
        <v>#N/A</v>
      </c>
      <c r="I84" t="e">
        <f>VLOOKUP(Tableau68[[#This Row],[Utilisateur prevu]],Tableau3[[Prenoms (ID)]:[CABINET]],3,FALSE)</f>
        <v>#N/A</v>
      </c>
      <c r="J84" t="e">
        <f>VLOOKUP(Tableau68[[#This Row],[Utilisateur prevu]],Tableau3[[Prenoms (ID)]:[CABINET]],4,FALSE)</f>
        <v>#N/A</v>
      </c>
      <c r="M84" t="s">
        <v>115</v>
      </c>
    </row>
    <row r="85" spans="1:13" hidden="1" x14ac:dyDescent="0.25">
      <c r="A85" s="2">
        <v>45587</v>
      </c>
      <c r="B85" s="27" t="s">
        <v>24</v>
      </c>
      <c r="C85">
        <v>2</v>
      </c>
      <c r="D85" t="s">
        <v>15</v>
      </c>
      <c r="E85" t="s">
        <v>16</v>
      </c>
      <c r="H85" t="e">
        <f>VLOOKUP(Tableau68[[#This Row],[Utilisateur prevu]],Tableau3[[Prenoms (ID)]:[CABINET]],2,FALSE)</f>
        <v>#N/A</v>
      </c>
      <c r="I85" t="e">
        <f>VLOOKUP(Tableau68[[#This Row],[Utilisateur prevu]],Tableau3[[Prenoms (ID)]:[CABINET]],3,FALSE)</f>
        <v>#N/A</v>
      </c>
      <c r="J85" t="e">
        <f>VLOOKUP(Tableau68[[#This Row],[Utilisateur prevu]],Tableau3[[Prenoms (ID)]:[CABINET]],4,FALSE)</f>
        <v>#N/A</v>
      </c>
      <c r="M85" t="s">
        <v>116</v>
      </c>
    </row>
    <row r="86" spans="1:13" hidden="1" x14ac:dyDescent="0.25">
      <c r="A86" s="2">
        <v>45587</v>
      </c>
      <c r="B86" s="27" t="s">
        <v>28</v>
      </c>
      <c r="C86">
        <v>2</v>
      </c>
      <c r="D86" t="s">
        <v>15</v>
      </c>
      <c r="E86" t="s">
        <v>16</v>
      </c>
      <c r="H86" t="e">
        <f>VLOOKUP(Tableau68[[#This Row],[Utilisateur prevu]],Tableau3[[Prenoms (ID)]:[CABINET]],2,FALSE)</f>
        <v>#N/A</v>
      </c>
      <c r="I86" t="e">
        <f>VLOOKUP(Tableau68[[#This Row],[Utilisateur prevu]],Tableau3[[Prenoms (ID)]:[CABINET]],3,FALSE)</f>
        <v>#N/A</v>
      </c>
      <c r="J86" t="e">
        <f>VLOOKUP(Tableau68[[#This Row],[Utilisateur prevu]],Tableau3[[Prenoms (ID)]:[CABINET]],4,FALSE)</f>
        <v>#N/A</v>
      </c>
      <c r="M86" t="s">
        <v>117</v>
      </c>
    </row>
    <row r="87" spans="1:13" hidden="1" x14ac:dyDescent="0.25">
      <c r="A87" s="2">
        <v>45587</v>
      </c>
      <c r="B87" s="27" t="s">
        <v>58</v>
      </c>
      <c r="C87">
        <v>2</v>
      </c>
      <c r="D87" t="s">
        <v>15</v>
      </c>
      <c r="E87" t="s">
        <v>16</v>
      </c>
      <c r="H87" t="e">
        <f>VLOOKUP(Tableau68[[#This Row],[Utilisateur prevu]],Tableau3[[Prenoms (ID)]:[CABINET]],2,FALSE)</f>
        <v>#N/A</v>
      </c>
      <c r="I87" t="e">
        <f>VLOOKUP(Tableau68[[#This Row],[Utilisateur prevu]],Tableau3[[Prenoms (ID)]:[CABINET]],3,FALSE)</f>
        <v>#N/A</v>
      </c>
      <c r="J87" t="e">
        <f>VLOOKUP(Tableau68[[#This Row],[Utilisateur prevu]],Tableau3[[Prenoms (ID)]:[CABINET]],4,FALSE)</f>
        <v>#N/A</v>
      </c>
      <c r="M87" t="s">
        <v>107</v>
      </c>
    </row>
    <row r="88" spans="1:13" hidden="1" x14ac:dyDescent="0.25">
      <c r="A88" s="2">
        <v>45587</v>
      </c>
      <c r="B88" s="27" t="s">
        <v>25</v>
      </c>
      <c r="C88">
        <v>2</v>
      </c>
      <c r="D88" t="s">
        <v>15</v>
      </c>
      <c r="E88" t="s">
        <v>16</v>
      </c>
      <c r="H88" t="e">
        <f>VLOOKUP(Tableau68[[#This Row],[Utilisateur prevu]],Tableau3[[Prenoms (ID)]:[CABINET]],2,FALSE)</f>
        <v>#N/A</v>
      </c>
      <c r="I88" t="e">
        <f>VLOOKUP(Tableau68[[#This Row],[Utilisateur prevu]],Tableau3[[Prenoms (ID)]:[CABINET]],3,FALSE)</f>
        <v>#N/A</v>
      </c>
      <c r="J88" t="e">
        <f>VLOOKUP(Tableau68[[#This Row],[Utilisateur prevu]],Tableau3[[Prenoms (ID)]:[CABINET]],4,FALSE)</f>
        <v>#N/A</v>
      </c>
      <c r="M88" t="s">
        <v>118</v>
      </c>
    </row>
    <row r="89" spans="1:13" hidden="1" x14ac:dyDescent="0.25">
      <c r="A89" s="2">
        <v>45587</v>
      </c>
      <c r="B89" s="27" t="s">
        <v>119</v>
      </c>
      <c r="C89">
        <v>1</v>
      </c>
      <c r="D89" t="s">
        <v>15</v>
      </c>
      <c r="E89" t="s">
        <v>105</v>
      </c>
      <c r="H89" t="e">
        <f>VLOOKUP(Tableau68[[#This Row],[Utilisateur prevu]],Tableau3[[Prenoms (ID)]:[CABINET]],2,FALSE)</f>
        <v>#N/A</v>
      </c>
      <c r="I89" t="e">
        <f>VLOOKUP(Tableau68[[#This Row],[Utilisateur prevu]],Tableau3[[Prenoms (ID)]:[CABINET]],3,FALSE)</f>
        <v>#N/A</v>
      </c>
      <c r="J89" t="e">
        <f>VLOOKUP(Tableau68[[#This Row],[Utilisateur prevu]],Tableau3[[Prenoms (ID)]:[CABINET]],4,FALSE)</f>
        <v>#N/A</v>
      </c>
      <c r="M89" t="s">
        <v>120</v>
      </c>
    </row>
    <row r="90" spans="1:13" hidden="1" x14ac:dyDescent="0.25">
      <c r="A90" s="2">
        <v>45587</v>
      </c>
      <c r="B90" s="27" t="s">
        <v>114</v>
      </c>
      <c r="C90">
        <v>3</v>
      </c>
      <c r="D90" t="s">
        <v>15</v>
      </c>
      <c r="E90" t="s">
        <v>105</v>
      </c>
      <c r="H90" t="e">
        <f>VLOOKUP(Tableau68[[#This Row],[Utilisateur prevu]],Tableau3[[Prenoms (ID)]:[CABINET]],2,FALSE)</f>
        <v>#N/A</v>
      </c>
      <c r="I90" t="e">
        <f>VLOOKUP(Tableau68[[#This Row],[Utilisateur prevu]],Tableau3[[Prenoms (ID)]:[CABINET]],3,FALSE)</f>
        <v>#N/A</v>
      </c>
      <c r="J90" t="e">
        <f>VLOOKUP(Tableau68[[#This Row],[Utilisateur prevu]],Tableau3[[Prenoms (ID)]:[CABINET]],4,FALSE)</f>
        <v>#N/A</v>
      </c>
      <c r="M90" t="s">
        <v>121</v>
      </c>
    </row>
    <row r="91" spans="1:13" x14ac:dyDescent="0.25">
      <c r="A91" s="2">
        <v>45587</v>
      </c>
      <c r="B91" s="27" t="s">
        <v>34</v>
      </c>
      <c r="C91">
        <v>2</v>
      </c>
      <c r="D91" t="s">
        <v>15</v>
      </c>
      <c r="E91" t="s">
        <v>105</v>
      </c>
      <c r="H91" t="e">
        <f>VLOOKUP(Tableau68[[#This Row],[Utilisateur prevu]],Tableau3[[Prenoms (ID)]:[CABINET]],2,FALSE)</f>
        <v>#N/A</v>
      </c>
      <c r="I91" t="e">
        <f>VLOOKUP(Tableau68[[#This Row],[Utilisateur prevu]],Tableau3[[Prenoms (ID)]:[CABINET]],3,FALSE)</f>
        <v>#N/A</v>
      </c>
      <c r="J91" t="e">
        <f>VLOOKUP(Tableau68[[#This Row],[Utilisateur prevu]],Tableau3[[Prenoms (ID)]:[CABINET]],4,FALSE)</f>
        <v>#N/A</v>
      </c>
      <c r="M91" t="s">
        <v>122</v>
      </c>
    </row>
    <row r="92" spans="1:13" x14ac:dyDescent="0.25">
      <c r="A92" s="2">
        <v>45587</v>
      </c>
      <c r="B92" s="27" t="s">
        <v>34</v>
      </c>
      <c r="C92">
        <v>2</v>
      </c>
      <c r="D92" t="s">
        <v>15</v>
      </c>
      <c r="E92" t="s">
        <v>105</v>
      </c>
      <c r="H92" t="e">
        <f>VLOOKUP(Tableau68[[#This Row],[Utilisateur prevu]],Tableau3[[Prenoms (ID)]:[CABINET]],2,FALSE)</f>
        <v>#N/A</v>
      </c>
      <c r="I92" t="e">
        <f>VLOOKUP(Tableau68[[#This Row],[Utilisateur prevu]],Tableau3[[Prenoms (ID)]:[CABINET]],3,FALSE)</f>
        <v>#N/A</v>
      </c>
      <c r="J92" t="e">
        <f>VLOOKUP(Tableau68[[#This Row],[Utilisateur prevu]],Tableau3[[Prenoms (ID)]:[CABINET]],4,FALSE)</f>
        <v>#N/A</v>
      </c>
      <c r="M92" t="s">
        <v>123</v>
      </c>
    </row>
    <row r="93" spans="1:13" hidden="1" x14ac:dyDescent="0.25">
      <c r="A93" s="2">
        <v>45587</v>
      </c>
      <c r="B93" s="27" t="s">
        <v>28</v>
      </c>
      <c r="C93">
        <v>2</v>
      </c>
      <c r="D93" t="s">
        <v>15</v>
      </c>
      <c r="E93" t="s">
        <v>105</v>
      </c>
      <c r="H93" t="e">
        <f>VLOOKUP(Tableau68[[#This Row],[Utilisateur prevu]],Tableau3[[Prenoms (ID)]:[CABINET]],2,FALSE)</f>
        <v>#N/A</v>
      </c>
      <c r="I93" t="e">
        <f>VLOOKUP(Tableau68[[#This Row],[Utilisateur prevu]],Tableau3[[Prenoms (ID)]:[CABINET]],3,FALSE)</f>
        <v>#N/A</v>
      </c>
      <c r="J93" t="e">
        <f>VLOOKUP(Tableau68[[#This Row],[Utilisateur prevu]],Tableau3[[Prenoms (ID)]:[CABINET]],4,FALSE)</f>
        <v>#N/A</v>
      </c>
      <c r="M93" t="s">
        <v>124</v>
      </c>
    </row>
    <row r="94" spans="1:13" hidden="1" x14ac:dyDescent="0.25">
      <c r="A94" s="2">
        <v>45587</v>
      </c>
      <c r="B94" s="27" t="s">
        <v>61</v>
      </c>
      <c r="C94">
        <v>1</v>
      </c>
      <c r="D94" t="s">
        <v>49</v>
      </c>
      <c r="E94" t="s">
        <v>105</v>
      </c>
      <c r="H94" t="e">
        <f>VLOOKUP(Tableau68[[#This Row],[Utilisateur prevu]],Tableau3[[Prenoms (ID)]:[CABINET]],2,FALSE)</f>
        <v>#N/A</v>
      </c>
      <c r="I94" t="e">
        <f>VLOOKUP(Tableau68[[#This Row],[Utilisateur prevu]],Tableau3[[Prenoms (ID)]:[CABINET]],3,FALSE)</f>
        <v>#N/A</v>
      </c>
      <c r="J94" t="e">
        <f>VLOOKUP(Tableau68[[#This Row],[Utilisateur prevu]],Tableau3[[Prenoms (ID)]:[CABINET]],4,FALSE)</f>
        <v>#N/A</v>
      </c>
      <c r="M94" t="s">
        <v>89</v>
      </c>
    </row>
    <row r="95" spans="1:13" hidden="1" x14ac:dyDescent="0.25">
      <c r="A95" s="2">
        <v>45587</v>
      </c>
      <c r="B95" s="27" t="s">
        <v>30</v>
      </c>
      <c r="C95">
        <v>3</v>
      </c>
      <c r="D95" t="s">
        <v>15</v>
      </c>
      <c r="E95" t="s">
        <v>105</v>
      </c>
      <c r="H95" t="e">
        <f>VLOOKUP(Tableau68[[#This Row],[Utilisateur prevu]],Tableau3[[Prenoms (ID)]:[CABINET]],2,FALSE)</f>
        <v>#N/A</v>
      </c>
      <c r="I95" t="e">
        <f>VLOOKUP(Tableau68[[#This Row],[Utilisateur prevu]],Tableau3[[Prenoms (ID)]:[CABINET]],3,FALSE)</f>
        <v>#N/A</v>
      </c>
      <c r="J95" t="e">
        <f>VLOOKUP(Tableau68[[#This Row],[Utilisateur prevu]],Tableau3[[Prenoms (ID)]:[CABINET]],4,FALSE)</f>
        <v>#N/A</v>
      </c>
      <c r="M95" t="s">
        <v>125</v>
      </c>
    </row>
    <row r="96" spans="1:13" hidden="1" x14ac:dyDescent="0.25">
      <c r="A96" s="2">
        <v>45587</v>
      </c>
      <c r="B96" s="27" t="s">
        <v>58</v>
      </c>
      <c r="C96">
        <v>2</v>
      </c>
      <c r="D96" t="s">
        <v>15</v>
      </c>
      <c r="E96" t="s">
        <v>105</v>
      </c>
      <c r="H96" t="e">
        <f>VLOOKUP(Tableau68[[#This Row],[Utilisateur prevu]],Tableau3[[Prenoms (ID)]:[CABINET]],2,FALSE)</f>
        <v>#N/A</v>
      </c>
      <c r="I96" t="e">
        <f>VLOOKUP(Tableau68[[#This Row],[Utilisateur prevu]],Tableau3[[Prenoms (ID)]:[CABINET]],3,FALSE)</f>
        <v>#N/A</v>
      </c>
      <c r="J96" t="e">
        <f>VLOOKUP(Tableau68[[#This Row],[Utilisateur prevu]],Tableau3[[Prenoms (ID)]:[CABINET]],4,FALSE)</f>
        <v>#N/A</v>
      </c>
      <c r="M96" t="s">
        <v>106</v>
      </c>
    </row>
    <row r="97" spans="1:13" hidden="1" x14ac:dyDescent="0.25">
      <c r="A97" s="2">
        <v>45587</v>
      </c>
      <c r="B97" s="27" t="s">
        <v>24</v>
      </c>
      <c r="C97">
        <v>2</v>
      </c>
      <c r="D97" t="s">
        <v>15</v>
      </c>
      <c r="E97" t="s">
        <v>105</v>
      </c>
      <c r="H97" t="e">
        <f>VLOOKUP(Tableau68[[#This Row],[Utilisateur prevu]],Tableau3[[Prenoms (ID)]:[CABINET]],2,FALSE)</f>
        <v>#N/A</v>
      </c>
      <c r="I97" t="e">
        <f>VLOOKUP(Tableau68[[#This Row],[Utilisateur prevu]],Tableau3[[Prenoms (ID)]:[CABINET]],3,FALSE)</f>
        <v>#N/A</v>
      </c>
      <c r="J97" t="e">
        <f>VLOOKUP(Tableau68[[#This Row],[Utilisateur prevu]],Tableau3[[Prenoms (ID)]:[CABINET]],4,FALSE)</f>
        <v>#N/A</v>
      </c>
      <c r="M97" t="s">
        <v>107</v>
      </c>
    </row>
    <row r="98" spans="1:13" hidden="1" x14ac:dyDescent="0.25">
      <c r="A98" s="2">
        <v>45587</v>
      </c>
      <c r="B98" s="27" t="s">
        <v>96</v>
      </c>
      <c r="C98">
        <v>1</v>
      </c>
      <c r="D98" t="s">
        <v>49</v>
      </c>
      <c r="E98" t="s">
        <v>105</v>
      </c>
      <c r="G98" t="s">
        <v>68</v>
      </c>
      <c r="H98" t="str">
        <f>VLOOKUP(Tableau68[[#This Row],[Utilisateur prevu]],Tableau3[[Prenoms (ID)]:[CABINET]],2,FALSE)</f>
        <v>Administration</v>
      </c>
      <c r="I98">
        <f>VLOOKUP(Tableau68[[#This Row],[Utilisateur prevu]],Tableau3[[Prenoms (ID)]:[CABINET]],3,FALSE)</f>
        <v>0</v>
      </c>
      <c r="J98">
        <f>VLOOKUP(Tableau68[[#This Row],[Utilisateur prevu]],Tableau3[[Prenoms (ID)]:[CABINET]],4,FALSE)</f>
        <v>0</v>
      </c>
      <c r="M98" t="s">
        <v>126</v>
      </c>
    </row>
    <row r="99" spans="1:13" hidden="1" x14ac:dyDescent="0.25">
      <c r="A99" s="2">
        <v>45587</v>
      </c>
      <c r="B99" s="27" t="s">
        <v>25</v>
      </c>
      <c r="C99">
        <v>2</v>
      </c>
      <c r="D99" t="s">
        <v>15</v>
      </c>
      <c r="E99" t="s">
        <v>105</v>
      </c>
      <c r="H99" t="e">
        <f>VLOOKUP(Tableau68[[#This Row],[Utilisateur prevu]],Tableau3[[Prenoms (ID)]:[CABINET]],2,FALSE)</f>
        <v>#N/A</v>
      </c>
      <c r="I99" t="e">
        <f>VLOOKUP(Tableau68[[#This Row],[Utilisateur prevu]],Tableau3[[Prenoms (ID)]:[CABINET]],3,FALSE)</f>
        <v>#N/A</v>
      </c>
      <c r="J99" t="e">
        <f>VLOOKUP(Tableau68[[#This Row],[Utilisateur prevu]],Tableau3[[Prenoms (ID)]:[CABINET]],4,FALSE)</f>
        <v>#N/A</v>
      </c>
      <c r="M99" t="s">
        <v>108</v>
      </c>
    </row>
    <row r="100" spans="1:13" hidden="1" x14ac:dyDescent="0.25">
      <c r="A100" s="2">
        <v>45610</v>
      </c>
      <c r="B100" s="27" t="s">
        <v>52</v>
      </c>
      <c r="C100">
        <v>20</v>
      </c>
      <c r="D100" t="s">
        <v>15</v>
      </c>
      <c r="E100" t="s">
        <v>16</v>
      </c>
      <c r="G100" t="s">
        <v>17</v>
      </c>
      <c r="H100">
        <f>VLOOKUP(Tableau68[[#This Row],[Utilisateur prevu]],Tableau3[[Prenoms (ID)]:[CABINET]],2,FALSE)</f>
        <v>0</v>
      </c>
      <c r="I100" t="str">
        <f>VLOOKUP(Tableau68[[#This Row],[Utilisateur prevu]],Tableau3[[Prenoms (ID)]:[CABINET]],3,FALSE)</f>
        <v>MADAFIT</v>
      </c>
      <c r="J100">
        <f>VLOOKUP(Tableau68[[#This Row],[Utilisateur prevu]],Tableau3[[Prenoms (ID)]:[CABINET]],4,FALSE)</f>
        <v>0</v>
      </c>
      <c r="M100" t="s">
        <v>107</v>
      </c>
    </row>
    <row r="101" spans="1:13" hidden="1" x14ac:dyDescent="0.25">
      <c r="A101" s="2">
        <v>45610</v>
      </c>
      <c r="B101" s="27" t="s">
        <v>52</v>
      </c>
      <c r="C101">
        <v>20</v>
      </c>
      <c r="D101" t="s">
        <v>15</v>
      </c>
      <c r="E101" t="s">
        <v>105</v>
      </c>
      <c r="G101" t="s">
        <v>17</v>
      </c>
      <c r="H101">
        <f>VLOOKUP(Tableau68[[#This Row],[Utilisateur prevu]],Tableau3[[Prenoms (ID)]:[CABINET]],2,FALSE)</f>
        <v>0</v>
      </c>
      <c r="I101" t="str">
        <f>VLOOKUP(Tableau68[[#This Row],[Utilisateur prevu]],Tableau3[[Prenoms (ID)]:[CABINET]],3,FALSE)</f>
        <v>MADAFIT</v>
      </c>
      <c r="J101">
        <f>VLOOKUP(Tableau68[[#This Row],[Utilisateur prevu]],Tableau3[[Prenoms (ID)]:[CABINET]],4,FALSE)</f>
        <v>0</v>
      </c>
      <c r="M101" t="s">
        <v>107</v>
      </c>
    </row>
    <row r="102" spans="1:13" hidden="1" x14ac:dyDescent="0.25">
      <c r="A102" s="2">
        <v>45616</v>
      </c>
      <c r="B102" s="27" t="s">
        <v>114</v>
      </c>
      <c r="C102">
        <v>2</v>
      </c>
      <c r="D102" t="s">
        <v>15</v>
      </c>
      <c r="E102" t="s">
        <v>26</v>
      </c>
      <c r="H102" t="e">
        <f>VLOOKUP(Tableau68[[#This Row],[Utilisateur prevu]],Tableau3[[Prenoms (ID)]:[CABINET]],2,FALSE)</f>
        <v>#N/A</v>
      </c>
      <c r="I102" t="e">
        <f>VLOOKUP(Tableau68[[#This Row],[Utilisateur prevu]],Tableau3[[Prenoms (ID)]:[CABINET]],3,FALSE)</f>
        <v>#N/A</v>
      </c>
      <c r="J102" t="e">
        <f>VLOOKUP(Tableau68[[#This Row],[Utilisateur prevu]],Tableau3[[Prenoms (ID)]:[CABINET]],4,FALSE)</f>
        <v>#N/A</v>
      </c>
      <c r="M102" t="s">
        <v>127</v>
      </c>
    </row>
    <row r="103" spans="1:13" hidden="1" x14ac:dyDescent="0.25">
      <c r="A103" s="2">
        <v>45616</v>
      </c>
      <c r="B103" s="27" t="s">
        <v>114</v>
      </c>
      <c r="C103">
        <v>1</v>
      </c>
      <c r="D103" t="s">
        <v>49</v>
      </c>
      <c r="E103" t="s">
        <v>105</v>
      </c>
      <c r="H103" t="e">
        <f>VLOOKUP(Tableau68[[#This Row],[Utilisateur prevu]],Tableau3[[Prenoms (ID)]:[CABINET]],2,FALSE)</f>
        <v>#N/A</v>
      </c>
      <c r="I103" t="e">
        <f>VLOOKUP(Tableau68[[#This Row],[Utilisateur prevu]],Tableau3[[Prenoms (ID)]:[CABINET]],3,FALSE)</f>
        <v>#N/A</v>
      </c>
      <c r="J103" t="e">
        <f>VLOOKUP(Tableau68[[#This Row],[Utilisateur prevu]],Tableau3[[Prenoms (ID)]:[CABINET]],4,FALSE)</f>
        <v>#N/A</v>
      </c>
      <c r="M103" t="s">
        <v>128</v>
      </c>
    </row>
    <row r="104" spans="1:13" hidden="1" x14ac:dyDescent="0.25">
      <c r="A104" s="2">
        <v>45618</v>
      </c>
      <c r="B104" s="27" t="s">
        <v>18</v>
      </c>
      <c r="C104">
        <v>150</v>
      </c>
      <c r="D104" t="s">
        <v>129</v>
      </c>
      <c r="E104" t="s">
        <v>16</v>
      </c>
      <c r="H104" t="e">
        <f>VLOOKUP(Tableau68[[#This Row],[Utilisateur prevu]],Tableau3[[Prenoms (ID)]:[CABINET]],2,FALSE)</f>
        <v>#N/A</v>
      </c>
      <c r="I104" t="e">
        <f>VLOOKUP(Tableau68[[#This Row],[Utilisateur prevu]],Tableau3[[Prenoms (ID)]:[CABINET]],3,FALSE)</f>
        <v>#N/A</v>
      </c>
      <c r="J104" t="e">
        <f>VLOOKUP(Tableau68[[#This Row],[Utilisateur prevu]],Tableau3[[Prenoms (ID)]:[CABINET]],4,FALSE)</f>
        <v>#N/A</v>
      </c>
      <c r="M104" t="s">
        <v>130</v>
      </c>
    </row>
    <row r="105" spans="1:13" hidden="1" x14ac:dyDescent="0.25">
      <c r="A105" s="2">
        <v>45618</v>
      </c>
      <c r="B105" s="27" t="s">
        <v>18</v>
      </c>
      <c r="C105">
        <v>150</v>
      </c>
      <c r="D105" t="s">
        <v>129</v>
      </c>
      <c r="E105" t="s">
        <v>105</v>
      </c>
      <c r="H105" t="e">
        <f>VLOOKUP(Tableau68[[#This Row],[Utilisateur prevu]],Tableau3[[Prenoms (ID)]:[CABINET]],2,FALSE)</f>
        <v>#N/A</v>
      </c>
      <c r="I105" t="e">
        <f>VLOOKUP(Tableau68[[#This Row],[Utilisateur prevu]],Tableau3[[Prenoms (ID)]:[CABINET]],3,FALSE)</f>
        <v>#N/A</v>
      </c>
      <c r="J105" t="e">
        <f>VLOOKUP(Tableau68[[#This Row],[Utilisateur prevu]],Tableau3[[Prenoms (ID)]:[CABINET]],4,FALSE)</f>
        <v>#N/A</v>
      </c>
      <c r="M105" t="s">
        <v>131</v>
      </c>
    </row>
    <row r="106" spans="1:13" hidden="1" x14ac:dyDescent="0.25">
      <c r="A106" s="2">
        <v>45621</v>
      </c>
      <c r="B106" s="27" t="s">
        <v>24</v>
      </c>
      <c r="C106">
        <v>2</v>
      </c>
      <c r="D106" t="s">
        <v>15</v>
      </c>
      <c r="E106" t="s">
        <v>26</v>
      </c>
      <c r="H106" t="e">
        <f>VLOOKUP(Tableau68[[#This Row],[Utilisateur prevu]],Tableau3[[Prenoms (ID)]:[CABINET]],2,FALSE)</f>
        <v>#N/A</v>
      </c>
      <c r="I106" t="e">
        <f>VLOOKUP(Tableau68[[#This Row],[Utilisateur prevu]],Tableau3[[Prenoms (ID)]:[CABINET]],3,FALSE)</f>
        <v>#N/A</v>
      </c>
      <c r="J106" t="e">
        <f>VLOOKUP(Tableau68[[#This Row],[Utilisateur prevu]],Tableau3[[Prenoms (ID)]:[CABINET]],4,FALSE)</f>
        <v>#N/A</v>
      </c>
      <c r="M106" t="s">
        <v>107</v>
      </c>
    </row>
    <row r="107" spans="1:13" hidden="1" x14ac:dyDescent="0.25">
      <c r="A107" s="2">
        <v>45621</v>
      </c>
      <c r="B107" s="27" t="s">
        <v>22</v>
      </c>
      <c r="C107">
        <v>6</v>
      </c>
      <c r="D107" t="s">
        <v>15</v>
      </c>
      <c r="E107" t="s">
        <v>26</v>
      </c>
      <c r="H107" t="e">
        <f>VLOOKUP(Tableau68[[#This Row],[Utilisateur prevu]],Tableau3[[Prenoms (ID)]:[CABINET]],2,FALSE)</f>
        <v>#N/A</v>
      </c>
      <c r="I107" t="e">
        <f>VLOOKUP(Tableau68[[#This Row],[Utilisateur prevu]],Tableau3[[Prenoms (ID)]:[CABINET]],3,FALSE)</f>
        <v>#N/A</v>
      </c>
      <c r="J107" t="e">
        <f>VLOOKUP(Tableau68[[#This Row],[Utilisateur prevu]],Tableau3[[Prenoms (ID)]:[CABINET]],4,FALSE)</f>
        <v>#N/A</v>
      </c>
      <c r="M107" t="s">
        <v>132</v>
      </c>
    </row>
    <row r="108" spans="1:13" hidden="1" x14ac:dyDescent="0.25">
      <c r="A108" s="2">
        <v>45621</v>
      </c>
      <c r="B108" s="27" t="s">
        <v>28</v>
      </c>
      <c r="C108">
        <v>1</v>
      </c>
      <c r="D108" t="s">
        <v>15</v>
      </c>
      <c r="E108" t="s">
        <v>26</v>
      </c>
      <c r="H108" t="e">
        <f>VLOOKUP(Tableau68[[#This Row],[Utilisateur prevu]],Tableau3[[Prenoms (ID)]:[CABINET]],2,FALSE)</f>
        <v>#N/A</v>
      </c>
      <c r="I108" t="e">
        <f>VLOOKUP(Tableau68[[#This Row],[Utilisateur prevu]],Tableau3[[Prenoms (ID)]:[CABINET]],3,FALSE)</f>
        <v>#N/A</v>
      </c>
      <c r="J108" t="e">
        <f>VLOOKUP(Tableau68[[#This Row],[Utilisateur prevu]],Tableau3[[Prenoms (ID)]:[CABINET]],4,FALSE)</f>
        <v>#N/A</v>
      </c>
      <c r="M108" t="s">
        <v>133</v>
      </c>
    </row>
    <row r="109" spans="1:13" hidden="1" x14ac:dyDescent="0.25">
      <c r="A109" s="2">
        <v>45621</v>
      </c>
      <c r="B109" s="27" t="s">
        <v>24</v>
      </c>
      <c r="C109">
        <v>1</v>
      </c>
      <c r="D109" t="s">
        <v>49</v>
      </c>
      <c r="E109" t="s">
        <v>105</v>
      </c>
      <c r="G109" t="s">
        <v>17</v>
      </c>
      <c r="H109">
        <f>VLOOKUP(Tableau68[[#This Row],[Utilisateur prevu]],Tableau3[[Prenoms (ID)]:[CABINET]],2,FALSE)</f>
        <v>0</v>
      </c>
      <c r="I109" t="str">
        <f>VLOOKUP(Tableau68[[#This Row],[Utilisateur prevu]],Tableau3[[Prenoms (ID)]:[CABINET]],3,FALSE)</f>
        <v>MADAFIT</v>
      </c>
      <c r="J109">
        <f>VLOOKUP(Tableau68[[#This Row],[Utilisateur prevu]],Tableau3[[Prenoms (ID)]:[CABINET]],4,FALSE)</f>
        <v>0</v>
      </c>
      <c r="M109" t="s">
        <v>107</v>
      </c>
    </row>
    <row r="110" spans="1:13" hidden="1" x14ac:dyDescent="0.25">
      <c r="A110" s="2">
        <v>45621</v>
      </c>
      <c r="B110" s="27" t="s">
        <v>28</v>
      </c>
      <c r="C110">
        <v>3</v>
      </c>
      <c r="D110" t="s">
        <v>15</v>
      </c>
      <c r="E110" t="s">
        <v>105</v>
      </c>
      <c r="H110" t="e">
        <f>VLOOKUP(Tableau68[[#This Row],[Utilisateur prevu]],Tableau3[[Prenoms (ID)]:[CABINET]],2,FALSE)</f>
        <v>#N/A</v>
      </c>
      <c r="I110" t="e">
        <f>VLOOKUP(Tableau68[[#This Row],[Utilisateur prevu]],Tableau3[[Prenoms (ID)]:[CABINET]],3,FALSE)</f>
        <v>#N/A</v>
      </c>
      <c r="J110" t="e">
        <f>VLOOKUP(Tableau68[[#This Row],[Utilisateur prevu]],Tableau3[[Prenoms (ID)]:[CABINET]],4,FALSE)</f>
        <v>#N/A</v>
      </c>
      <c r="M110" t="s">
        <v>134</v>
      </c>
    </row>
    <row r="111" spans="1:13" x14ac:dyDescent="0.25">
      <c r="A111" s="2">
        <v>45642</v>
      </c>
      <c r="B111" s="27" t="s">
        <v>34</v>
      </c>
      <c r="C111">
        <v>4</v>
      </c>
      <c r="D111" t="s">
        <v>15</v>
      </c>
      <c r="E111" t="s">
        <v>16</v>
      </c>
      <c r="H111" t="e">
        <f>VLOOKUP(Tableau68[[#This Row],[Utilisateur prevu]],Tableau3[[Prenoms (ID)]:[CABINET]],2,FALSE)</f>
        <v>#N/A</v>
      </c>
      <c r="I111" t="e">
        <f>VLOOKUP(Tableau68[[#This Row],[Utilisateur prevu]],Tableau3[[Prenoms (ID)]:[CABINET]],3,FALSE)</f>
        <v>#N/A</v>
      </c>
      <c r="J111" t="e">
        <f>VLOOKUP(Tableau68[[#This Row],[Utilisateur prevu]],Tableau3[[Prenoms (ID)]:[CABINET]],4,FALSE)</f>
        <v>#N/A</v>
      </c>
      <c r="M111" t="s">
        <v>135</v>
      </c>
    </row>
    <row r="112" spans="1:13" hidden="1" x14ac:dyDescent="0.25">
      <c r="A112" s="2">
        <v>45642</v>
      </c>
      <c r="B112" s="27" t="s">
        <v>24</v>
      </c>
      <c r="C112">
        <v>2</v>
      </c>
      <c r="D112" t="s">
        <v>15</v>
      </c>
      <c r="E112" t="s">
        <v>16</v>
      </c>
      <c r="H112" t="e">
        <f>VLOOKUP(Tableau68[[#This Row],[Utilisateur prevu]],Tableau3[[Prenoms (ID)]:[CABINET]],2,FALSE)</f>
        <v>#N/A</v>
      </c>
      <c r="I112" t="e">
        <f>VLOOKUP(Tableau68[[#This Row],[Utilisateur prevu]],Tableau3[[Prenoms (ID)]:[CABINET]],3,FALSE)</f>
        <v>#N/A</v>
      </c>
      <c r="J112" t="e">
        <f>VLOOKUP(Tableau68[[#This Row],[Utilisateur prevu]],Tableau3[[Prenoms (ID)]:[CABINET]],4,FALSE)</f>
        <v>#N/A</v>
      </c>
      <c r="M112" t="s">
        <v>136</v>
      </c>
    </row>
    <row r="113" spans="1:13" hidden="1" x14ac:dyDescent="0.25">
      <c r="A113" s="2">
        <v>45642</v>
      </c>
      <c r="B113" s="27" t="s">
        <v>99</v>
      </c>
      <c r="C113">
        <v>1</v>
      </c>
      <c r="D113" t="s">
        <v>15</v>
      </c>
      <c r="E113" t="s">
        <v>16</v>
      </c>
      <c r="G113" t="s">
        <v>137</v>
      </c>
      <c r="H113" t="str">
        <f>VLOOKUP(Tableau68[[#This Row],[Utilisateur prevu]],Tableau3[[Prenoms (ID)]:[CABINET]],2,FALSE)</f>
        <v>-</v>
      </c>
      <c r="I113" t="str">
        <f>VLOOKUP(Tableau68[[#This Row],[Utilisateur prevu]],Tableau3[[Prenoms (ID)]:[CABINET]],3,FALSE)</f>
        <v>BIRA</v>
      </c>
      <c r="J113" t="str">
        <f>VLOOKUP(Tableau68[[#This Row],[Utilisateur prevu]],Tableau3[[Prenoms (ID)]:[CABINET]],4,FALSE)</f>
        <v>CPA</v>
      </c>
      <c r="M113" t="s">
        <v>138</v>
      </c>
    </row>
    <row r="114" spans="1:13" hidden="1" x14ac:dyDescent="0.25">
      <c r="A114" s="2">
        <v>45642</v>
      </c>
      <c r="B114" s="27" t="s">
        <v>58</v>
      </c>
      <c r="C114">
        <v>2</v>
      </c>
      <c r="D114" t="s">
        <v>15</v>
      </c>
      <c r="E114" t="s">
        <v>16</v>
      </c>
      <c r="G114" t="s">
        <v>17</v>
      </c>
      <c r="H114">
        <f>VLOOKUP(Tableau68[[#This Row],[Utilisateur prevu]],Tableau3[[Prenoms (ID)]:[CABINET]],2,FALSE)</f>
        <v>0</v>
      </c>
      <c r="I114" t="str">
        <f>VLOOKUP(Tableau68[[#This Row],[Utilisateur prevu]],Tableau3[[Prenoms (ID)]:[CABINET]],3,FALSE)</f>
        <v>MADAFIT</v>
      </c>
      <c r="J114">
        <f>VLOOKUP(Tableau68[[#This Row],[Utilisateur prevu]],Tableau3[[Prenoms (ID)]:[CABINET]],4,FALSE)</f>
        <v>0</v>
      </c>
      <c r="M114" t="s">
        <v>107</v>
      </c>
    </row>
    <row r="115" spans="1:13" hidden="1" x14ac:dyDescent="0.25">
      <c r="A115" s="2">
        <v>45642</v>
      </c>
      <c r="B115" s="27" t="s">
        <v>139</v>
      </c>
      <c r="C115">
        <v>10</v>
      </c>
      <c r="D115" t="s">
        <v>15</v>
      </c>
      <c r="E115" t="s">
        <v>16</v>
      </c>
      <c r="G115" t="s">
        <v>17</v>
      </c>
      <c r="H115">
        <f>VLOOKUP(Tableau68[[#This Row],[Utilisateur prevu]],Tableau3[[Prenoms (ID)]:[CABINET]],2,FALSE)</f>
        <v>0</v>
      </c>
      <c r="I115" t="str">
        <f>VLOOKUP(Tableau68[[#This Row],[Utilisateur prevu]],Tableau3[[Prenoms (ID)]:[CABINET]],3,FALSE)</f>
        <v>MADAFIT</v>
      </c>
      <c r="J115">
        <f>VLOOKUP(Tableau68[[#This Row],[Utilisateur prevu]],Tableau3[[Prenoms (ID)]:[CABINET]],4,FALSE)</f>
        <v>0</v>
      </c>
      <c r="M115" t="s">
        <v>53</v>
      </c>
    </row>
    <row r="116" spans="1:13" hidden="1" x14ac:dyDescent="0.25">
      <c r="A116" s="2">
        <v>45642</v>
      </c>
      <c r="B116" s="27" t="s">
        <v>82</v>
      </c>
      <c r="C116">
        <v>10</v>
      </c>
      <c r="D116" t="s">
        <v>15</v>
      </c>
      <c r="E116" t="s">
        <v>16</v>
      </c>
      <c r="H116" t="e">
        <f>VLOOKUP(Tableau68[[#This Row],[Utilisateur prevu]],Tableau3[[Prenoms (ID)]:[CABINET]],2,FALSE)</f>
        <v>#N/A</v>
      </c>
      <c r="I116" t="e">
        <f>VLOOKUP(Tableau68[[#This Row],[Utilisateur prevu]],Tableau3[[Prenoms (ID)]:[CABINET]],3,FALSE)</f>
        <v>#N/A</v>
      </c>
      <c r="J116" t="e">
        <f>VLOOKUP(Tableau68[[#This Row],[Utilisateur prevu]],Tableau3[[Prenoms (ID)]:[CABINET]],4,FALSE)</f>
        <v>#N/A</v>
      </c>
      <c r="M116" t="s">
        <v>140</v>
      </c>
    </row>
    <row r="117" spans="1:13" hidden="1" x14ac:dyDescent="0.25">
      <c r="A117" s="2">
        <v>45642</v>
      </c>
      <c r="B117" s="27" t="s">
        <v>84</v>
      </c>
      <c r="C117">
        <v>4</v>
      </c>
      <c r="D117" t="s">
        <v>15</v>
      </c>
      <c r="E117" t="s">
        <v>16</v>
      </c>
      <c r="H117" t="e">
        <f>VLOOKUP(Tableau68[[#This Row],[Utilisateur prevu]],Tableau3[[Prenoms (ID)]:[CABINET]],2,FALSE)</f>
        <v>#N/A</v>
      </c>
      <c r="I117" t="e">
        <f>VLOOKUP(Tableau68[[#This Row],[Utilisateur prevu]],Tableau3[[Prenoms (ID)]:[CABINET]],3,FALSE)</f>
        <v>#N/A</v>
      </c>
      <c r="J117" t="e">
        <f>VLOOKUP(Tableau68[[#This Row],[Utilisateur prevu]],Tableau3[[Prenoms (ID)]:[CABINET]],4,FALSE)</f>
        <v>#N/A</v>
      </c>
      <c r="M117" t="s">
        <v>141</v>
      </c>
    </row>
    <row r="118" spans="1:13" hidden="1" x14ac:dyDescent="0.25">
      <c r="A118" s="2">
        <v>45642</v>
      </c>
      <c r="B118" s="27" t="s">
        <v>25</v>
      </c>
      <c r="C118">
        <v>2</v>
      </c>
      <c r="D118" t="s">
        <v>15</v>
      </c>
      <c r="E118" t="s">
        <v>16</v>
      </c>
      <c r="H118" t="e">
        <f>VLOOKUP(Tableau68[[#This Row],[Utilisateur prevu]],Tableau3[[Prenoms (ID)]:[CABINET]],2,FALSE)</f>
        <v>#N/A</v>
      </c>
      <c r="I118" t="e">
        <f>VLOOKUP(Tableau68[[#This Row],[Utilisateur prevu]],Tableau3[[Prenoms (ID)]:[CABINET]],3,FALSE)</f>
        <v>#N/A</v>
      </c>
      <c r="J118" t="e">
        <f>VLOOKUP(Tableau68[[#This Row],[Utilisateur prevu]],Tableau3[[Prenoms (ID)]:[CABINET]],4,FALSE)</f>
        <v>#N/A</v>
      </c>
      <c r="M118" t="s">
        <v>136</v>
      </c>
    </row>
    <row r="119" spans="1:13" hidden="1" x14ac:dyDescent="0.25">
      <c r="A119" s="2">
        <v>45642</v>
      </c>
      <c r="B119" s="27" t="s">
        <v>28</v>
      </c>
      <c r="C119">
        <v>40</v>
      </c>
      <c r="D119" t="s">
        <v>15</v>
      </c>
      <c r="E119" t="s">
        <v>105</v>
      </c>
      <c r="H119" t="e">
        <f>VLOOKUP(Tableau68[[#This Row],[Utilisateur prevu]],Tableau3[[Prenoms (ID)]:[CABINET]],2,FALSE)</f>
        <v>#N/A</v>
      </c>
      <c r="I119" t="e">
        <f>VLOOKUP(Tableau68[[#This Row],[Utilisateur prevu]],Tableau3[[Prenoms (ID)]:[CABINET]],3,FALSE)</f>
        <v>#N/A</v>
      </c>
      <c r="J119" t="e">
        <f>VLOOKUP(Tableau68[[#This Row],[Utilisateur prevu]],Tableau3[[Prenoms (ID)]:[CABINET]],4,FALSE)</f>
        <v>#N/A</v>
      </c>
      <c r="M119" t="s">
        <v>142</v>
      </c>
    </row>
    <row r="120" spans="1:13" hidden="1" x14ac:dyDescent="0.25">
      <c r="A120" s="2">
        <v>45642</v>
      </c>
      <c r="B120" s="27" t="s">
        <v>65</v>
      </c>
      <c r="C120">
        <v>10</v>
      </c>
      <c r="D120" t="s">
        <v>15</v>
      </c>
      <c r="E120" t="s">
        <v>105</v>
      </c>
      <c r="H120" t="e">
        <f>VLOOKUP(Tableau68[[#This Row],[Utilisateur prevu]],Tableau3[[Prenoms (ID)]:[CABINET]],2,FALSE)</f>
        <v>#N/A</v>
      </c>
      <c r="I120" t="e">
        <f>VLOOKUP(Tableau68[[#This Row],[Utilisateur prevu]],Tableau3[[Prenoms (ID)]:[CABINET]],3,FALSE)</f>
        <v>#N/A</v>
      </c>
      <c r="J120" t="e">
        <f>VLOOKUP(Tableau68[[#This Row],[Utilisateur prevu]],Tableau3[[Prenoms (ID)]:[CABINET]],4,FALSE)</f>
        <v>#N/A</v>
      </c>
      <c r="M120" t="s">
        <v>143</v>
      </c>
    </row>
    <row r="121" spans="1:13" hidden="1" x14ac:dyDescent="0.25">
      <c r="A121" s="2">
        <v>45642</v>
      </c>
      <c r="B121" s="27" t="s">
        <v>20</v>
      </c>
      <c r="C121">
        <v>200</v>
      </c>
      <c r="D121" t="s">
        <v>15</v>
      </c>
      <c r="E121" t="s">
        <v>105</v>
      </c>
      <c r="H121" t="e">
        <f>VLOOKUP(Tableau68[[#This Row],[Utilisateur prevu]],Tableau3[[Prenoms (ID)]:[CABINET]],2,FALSE)</f>
        <v>#N/A</v>
      </c>
      <c r="I121" t="e">
        <f>VLOOKUP(Tableau68[[#This Row],[Utilisateur prevu]],Tableau3[[Prenoms (ID)]:[CABINET]],3,FALSE)</f>
        <v>#N/A</v>
      </c>
      <c r="J121" t="e">
        <f>VLOOKUP(Tableau68[[#This Row],[Utilisateur prevu]],Tableau3[[Prenoms (ID)]:[CABINET]],4,FALSE)</f>
        <v>#N/A</v>
      </c>
      <c r="M121" t="s">
        <v>143</v>
      </c>
    </row>
    <row r="122" spans="1:13" x14ac:dyDescent="0.25">
      <c r="A122" s="2">
        <v>45642</v>
      </c>
      <c r="B122" s="27" t="s">
        <v>34</v>
      </c>
      <c r="C122">
        <v>2</v>
      </c>
      <c r="D122" t="s">
        <v>15</v>
      </c>
      <c r="E122" t="s">
        <v>105</v>
      </c>
      <c r="H122" t="e">
        <f>VLOOKUP(Tableau68[[#This Row],[Utilisateur prevu]],Tableau3[[Prenoms (ID)]:[CABINET]],2,FALSE)</f>
        <v>#N/A</v>
      </c>
      <c r="I122" t="e">
        <f>VLOOKUP(Tableau68[[#This Row],[Utilisateur prevu]],Tableau3[[Prenoms (ID)]:[CABINET]],3,FALSE)</f>
        <v>#N/A</v>
      </c>
      <c r="J122" t="e">
        <f>VLOOKUP(Tableau68[[#This Row],[Utilisateur prevu]],Tableau3[[Prenoms (ID)]:[CABINET]],4,FALSE)</f>
        <v>#N/A</v>
      </c>
      <c r="M122" t="s">
        <v>144</v>
      </c>
    </row>
    <row r="123" spans="1:13" x14ac:dyDescent="0.25">
      <c r="A123" s="2">
        <v>45642</v>
      </c>
      <c r="B123" s="27" t="s">
        <v>34</v>
      </c>
      <c r="C123">
        <v>1</v>
      </c>
      <c r="D123" t="s">
        <v>15</v>
      </c>
      <c r="E123" t="s">
        <v>105</v>
      </c>
      <c r="G123" t="s">
        <v>145</v>
      </c>
      <c r="H123" t="str">
        <f>VLOOKUP(Tableau68[[#This Row],[Utilisateur prevu]],Tableau3[[Prenoms (ID)]:[CABINET]],2,FALSE)</f>
        <v>ASSOCIATION CPA</v>
      </c>
      <c r="I123" t="str">
        <f>VLOOKUP(Tableau68[[#This Row],[Utilisateur prevu]],Tableau3[[Prenoms (ID)]:[CABINET]],3,FALSE)</f>
        <v>CENTRE</v>
      </c>
      <c r="J123">
        <f>VLOOKUP(Tableau68[[#This Row],[Utilisateur prevu]],Tableau3[[Prenoms (ID)]:[CABINET]],4,FALSE)</f>
        <v>0</v>
      </c>
      <c r="M123" t="s">
        <v>146</v>
      </c>
    </row>
    <row r="124" spans="1:13" hidden="1" x14ac:dyDescent="0.25">
      <c r="A124" s="2">
        <v>45642</v>
      </c>
      <c r="B124" s="27" t="s">
        <v>139</v>
      </c>
      <c r="C124">
        <v>10</v>
      </c>
      <c r="D124" t="s">
        <v>15</v>
      </c>
      <c r="E124" t="s">
        <v>105</v>
      </c>
      <c r="G124" t="s">
        <v>17</v>
      </c>
      <c r="H124">
        <f>VLOOKUP(Tableau68[[#This Row],[Utilisateur prevu]],Tableau3[[Prenoms (ID)]:[CABINET]],2,FALSE)</f>
        <v>0</v>
      </c>
      <c r="I124" t="str">
        <f>VLOOKUP(Tableau68[[#This Row],[Utilisateur prevu]],Tableau3[[Prenoms (ID)]:[CABINET]],3,FALSE)</f>
        <v>MADAFIT</v>
      </c>
      <c r="J124">
        <f>VLOOKUP(Tableau68[[#This Row],[Utilisateur prevu]],Tableau3[[Prenoms (ID)]:[CABINET]],4,FALSE)</f>
        <v>0</v>
      </c>
      <c r="M124" t="s">
        <v>53</v>
      </c>
    </row>
    <row r="125" spans="1:13" hidden="1" x14ac:dyDescent="0.25">
      <c r="A125" s="2">
        <v>45642</v>
      </c>
      <c r="B125" s="27" t="s">
        <v>114</v>
      </c>
      <c r="C125">
        <v>1</v>
      </c>
      <c r="D125" t="s">
        <v>15</v>
      </c>
      <c r="E125" t="s">
        <v>105</v>
      </c>
      <c r="G125" t="s">
        <v>27</v>
      </c>
      <c r="H125">
        <f>VLOOKUP(Tableau68[[#This Row],[Utilisateur prevu]],Tableau3[[Prenoms (ID)]:[CABINET]],2,FALSE)</f>
        <v>0</v>
      </c>
      <c r="I125" t="str">
        <f>VLOOKUP(Tableau68[[#This Row],[Utilisateur prevu]],Tableau3[[Prenoms (ID)]:[CABINET]],3,FALSE)</f>
        <v>BIRA</v>
      </c>
      <c r="J125" t="str">
        <f>VLOOKUP(Tableau68[[#This Row],[Utilisateur prevu]],Tableau3[[Prenoms (ID)]:[CABINET]],4,FALSE)</f>
        <v>CPA</v>
      </c>
      <c r="M125" t="s">
        <v>89</v>
      </c>
    </row>
    <row r="126" spans="1:13" hidden="1" x14ac:dyDescent="0.25">
      <c r="A126" s="2">
        <v>45642</v>
      </c>
      <c r="B126" s="27" t="s">
        <v>58</v>
      </c>
      <c r="C126">
        <v>2</v>
      </c>
      <c r="D126" t="s">
        <v>15</v>
      </c>
      <c r="E126" t="s">
        <v>105</v>
      </c>
      <c r="H126" t="e">
        <f>VLOOKUP(Tableau68[[#This Row],[Utilisateur prevu]],Tableau3[[Prenoms (ID)]:[CABINET]],2,FALSE)</f>
        <v>#N/A</v>
      </c>
      <c r="I126" t="e">
        <f>VLOOKUP(Tableau68[[#This Row],[Utilisateur prevu]],Tableau3[[Prenoms (ID)]:[CABINET]],3,FALSE)</f>
        <v>#N/A</v>
      </c>
      <c r="J126" t="e">
        <f>VLOOKUP(Tableau68[[#This Row],[Utilisateur prevu]],Tableau3[[Prenoms (ID)]:[CABINET]],4,FALSE)</f>
        <v>#N/A</v>
      </c>
      <c r="M126" t="s">
        <v>106</v>
      </c>
    </row>
    <row r="127" spans="1:13" hidden="1" x14ac:dyDescent="0.25">
      <c r="A127" s="2">
        <v>45642</v>
      </c>
      <c r="B127" s="27" t="s">
        <v>24</v>
      </c>
      <c r="C127">
        <v>2</v>
      </c>
      <c r="D127" t="s">
        <v>15</v>
      </c>
      <c r="E127" t="s">
        <v>105</v>
      </c>
      <c r="H127" t="e">
        <f>VLOOKUP(Tableau68[[#This Row],[Utilisateur prevu]],Tableau3[[Prenoms (ID)]:[CABINET]],2,FALSE)</f>
        <v>#N/A</v>
      </c>
      <c r="I127" t="e">
        <f>VLOOKUP(Tableau68[[#This Row],[Utilisateur prevu]],Tableau3[[Prenoms (ID)]:[CABINET]],3,FALSE)</f>
        <v>#N/A</v>
      </c>
      <c r="J127" t="e">
        <f>VLOOKUP(Tableau68[[#This Row],[Utilisateur prevu]],Tableau3[[Prenoms (ID)]:[CABINET]],4,FALSE)</f>
        <v>#N/A</v>
      </c>
      <c r="M127" t="s">
        <v>107</v>
      </c>
    </row>
    <row r="128" spans="1:13" hidden="1" x14ac:dyDescent="0.25">
      <c r="A128" s="2">
        <v>45642</v>
      </c>
      <c r="B128" s="27" t="s">
        <v>25</v>
      </c>
      <c r="C128">
        <v>2</v>
      </c>
      <c r="D128" t="s">
        <v>15</v>
      </c>
      <c r="E128" t="s">
        <v>105</v>
      </c>
      <c r="H128" t="e">
        <f>VLOOKUP(Tableau68[[#This Row],[Utilisateur prevu]],Tableau3[[Prenoms (ID)]:[CABINET]],2,FALSE)</f>
        <v>#N/A</v>
      </c>
      <c r="I128" t="e">
        <f>VLOOKUP(Tableau68[[#This Row],[Utilisateur prevu]],Tableau3[[Prenoms (ID)]:[CABINET]],3,FALSE)</f>
        <v>#N/A</v>
      </c>
      <c r="J128" t="e">
        <f>VLOOKUP(Tableau68[[#This Row],[Utilisateur prevu]],Tableau3[[Prenoms (ID)]:[CABINET]],4,FALSE)</f>
        <v>#N/A</v>
      </c>
      <c r="M128" t="s">
        <v>108</v>
      </c>
    </row>
    <row r="129" spans="1:13" hidden="1" x14ac:dyDescent="0.25">
      <c r="A129" s="46">
        <v>45643</v>
      </c>
      <c r="B129" s="27" t="s">
        <v>147</v>
      </c>
      <c r="C129">
        <v>1</v>
      </c>
      <c r="D129" t="s">
        <v>49</v>
      </c>
      <c r="G129" t="s">
        <v>148</v>
      </c>
      <c r="H129" t="str">
        <f>VLOOKUP(Tableau68[[#This Row],[Utilisateur prevu]],Tableau3[[Prenoms (ID)]:[CABINET]],2,FALSE)</f>
        <v>RECCI SGDB</v>
      </c>
      <c r="I129" t="str">
        <f>VLOOKUP(Tableau68[[#This Row],[Utilisateur prevu]],Tableau3[[Prenoms (ID)]:[CABINET]],3,FALSE)</f>
        <v>BNI1</v>
      </c>
      <c r="J129">
        <f>VLOOKUP(Tableau68[[#This Row],[Utilisateur prevu]],Tableau3[[Prenoms (ID)]:[CABINET]],4,FALSE)</f>
        <v>0</v>
      </c>
      <c r="M129" s="2">
        <v>45686</v>
      </c>
    </row>
    <row r="130" spans="1:13" hidden="1" x14ac:dyDescent="0.25">
      <c r="A130" s="46">
        <v>45643</v>
      </c>
      <c r="B130" s="27" t="s">
        <v>149</v>
      </c>
      <c r="C130">
        <v>1</v>
      </c>
      <c r="D130" t="s">
        <v>49</v>
      </c>
      <c r="G130" t="s">
        <v>150</v>
      </c>
      <c r="H130" s="35" t="str">
        <f>VLOOKUP(Tableau68[[#This Row],[Utilisateur prevu]],Tableau3[[Prenoms (ID)]:[CABINET]],2,FALSE)</f>
        <v>RECCI SGDB</v>
      </c>
      <c r="I130" s="35" t="str">
        <f>VLOOKUP(Tableau68[[#This Row],[Utilisateur prevu]],Tableau3[[Prenoms (ID)]:[CABINET]],3,FALSE)</f>
        <v>BNI1</v>
      </c>
      <c r="J130" s="35">
        <f>VLOOKUP(Tableau68[[#This Row],[Utilisateur prevu]],Tableau3[[Prenoms (ID)]:[CABINET]],4,FALSE)</f>
        <v>0</v>
      </c>
      <c r="M130" t="s">
        <v>151</v>
      </c>
    </row>
    <row r="131" spans="1:13" hidden="1" x14ac:dyDescent="0.25">
      <c r="A131" s="46">
        <v>45643</v>
      </c>
      <c r="B131" s="27" t="s">
        <v>152</v>
      </c>
      <c r="C131">
        <v>1</v>
      </c>
      <c r="D131" t="s">
        <v>49</v>
      </c>
      <c r="G131" t="s">
        <v>153</v>
      </c>
      <c r="H131" s="35" t="str">
        <f>VLOOKUP(Tableau68[[#This Row],[Utilisateur prevu]],Tableau3[[Prenoms (ID)]:[CABINET]],2,FALSE)</f>
        <v>Optique / Sata</v>
      </c>
      <c r="I131" s="35" t="str">
        <f>VLOOKUP(Tableau68[[#This Row],[Utilisateur prevu]],Tableau3[[Prenoms (ID)]:[CABINET]],3,FALSE)</f>
        <v>BNI1</v>
      </c>
      <c r="J131" s="35">
        <f>VLOOKUP(Tableau68[[#This Row],[Utilisateur prevu]],Tableau3[[Prenoms (ID)]:[CABINET]],4,FALSE)</f>
        <v>0</v>
      </c>
      <c r="M131" t="s">
        <v>154</v>
      </c>
    </row>
    <row r="132" spans="1:13" hidden="1" x14ac:dyDescent="0.25">
      <c r="A132" s="46">
        <v>45643</v>
      </c>
      <c r="B132" s="27" t="s">
        <v>155</v>
      </c>
      <c r="C132">
        <v>1</v>
      </c>
      <c r="D132" t="s">
        <v>49</v>
      </c>
      <c r="G132" t="s">
        <v>156</v>
      </c>
      <c r="H132" s="35" t="str">
        <f>VLOOKUP(Tableau68[[#This Row],[Utilisateur prevu]],Tableau3[[Prenoms (ID)]:[CABINET]],2,FALSE)</f>
        <v>Optique / Mirado</v>
      </c>
      <c r="I132" s="35" t="str">
        <f>VLOOKUP(Tableau68[[#This Row],[Utilisateur prevu]],Tableau3[[Prenoms (ID)]:[CABINET]],3,FALSE)</f>
        <v>BNI1</v>
      </c>
      <c r="J132" s="35">
        <f>VLOOKUP(Tableau68[[#This Row],[Utilisateur prevu]],Tableau3[[Prenoms (ID)]:[CABINET]],4,FALSE)</f>
        <v>0</v>
      </c>
      <c r="M132" t="s">
        <v>157</v>
      </c>
    </row>
    <row r="133" spans="1:13" hidden="1" x14ac:dyDescent="0.25">
      <c r="A133" s="46">
        <v>45643</v>
      </c>
      <c r="B133" s="27" t="s">
        <v>158</v>
      </c>
      <c r="C133">
        <v>1</v>
      </c>
      <c r="D133" t="s">
        <v>49</v>
      </c>
      <c r="G133" t="s">
        <v>159</v>
      </c>
      <c r="H133" s="35" t="str">
        <f>VLOOKUP(Tableau68[[#This Row],[Utilisateur prevu]],Tableau3[[Prenoms (ID)]:[CABINET]],2,FALSE)</f>
        <v>Optique / Sata</v>
      </c>
      <c r="I133" s="35" t="str">
        <f>VLOOKUP(Tableau68[[#This Row],[Utilisateur prevu]],Tableau3[[Prenoms (ID)]:[CABINET]],3,FALSE)</f>
        <v>BNI1</v>
      </c>
      <c r="J133" s="35">
        <f>VLOOKUP(Tableau68[[#This Row],[Utilisateur prevu]],Tableau3[[Prenoms (ID)]:[CABINET]],4,FALSE)</f>
        <v>0</v>
      </c>
      <c r="M133" t="s">
        <v>160</v>
      </c>
    </row>
    <row r="134" spans="1:13" hidden="1" x14ac:dyDescent="0.25">
      <c r="A134" s="46">
        <v>45643</v>
      </c>
      <c r="B134" s="27" t="s">
        <v>161</v>
      </c>
      <c r="C134">
        <v>1</v>
      </c>
      <c r="D134" t="s">
        <v>49</v>
      </c>
      <c r="G134" t="s">
        <v>162</v>
      </c>
      <c r="H134" s="35" t="str">
        <f>VLOOKUP(Tableau68[[#This Row],[Utilisateur prevu]],Tableau3[[Prenoms (ID)]:[CABINET]],2,FALSE)</f>
        <v>Optique / Mirado</v>
      </c>
      <c r="I134" s="35" t="str">
        <f>VLOOKUP(Tableau68[[#This Row],[Utilisateur prevu]],Tableau3[[Prenoms (ID)]:[CABINET]],3,FALSE)</f>
        <v>BNI1</v>
      </c>
      <c r="J134" s="35">
        <f>VLOOKUP(Tableau68[[#This Row],[Utilisateur prevu]],Tableau3[[Prenoms (ID)]:[CABINET]],4,FALSE)</f>
        <v>0</v>
      </c>
      <c r="M134" t="s">
        <v>163</v>
      </c>
    </row>
    <row r="135" spans="1:13" hidden="1" x14ac:dyDescent="0.25">
      <c r="A135" s="2">
        <v>45643</v>
      </c>
      <c r="B135" s="27" t="s">
        <v>28</v>
      </c>
      <c r="C135">
        <v>37</v>
      </c>
      <c r="D135" t="s">
        <v>49</v>
      </c>
      <c r="G135" t="s">
        <v>17</v>
      </c>
      <c r="H135" s="35">
        <f>VLOOKUP(Tableau68[[#This Row],[Utilisateur prevu]],Tableau3[[Prenoms (ID)]:[CABINET]],2,FALSE)</f>
        <v>0</v>
      </c>
      <c r="I135" s="35" t="str">
        <f>VLOOKUP(Tableau68[[#This Row],[Utilisateur prevu]],Tableau3[[Prenoms (ID)]:[CABINET]],3,FALSE)</f>
        <v>MADAFIT</v>
      </c>
      <c r="J135" s="35">
        <f>VLOOKUP(Tableau68[[#This Row],[Utilisateur prevu]],Tableau3[[Prenoms (ID)]:[CABINET]],4,FALSE)</f>
        <v>0</v>
      </c>
      <c r="M135" t="s">
        <v>164</v>
      </c>
    </row>
    <row r="136" spans="1:13" hidden="1" x14ac:dyDescent="0.25">
      <c r="A136" s="46">
        <v>45644</v>
      </c>
      <c r="B136" s="27" t="s">
        <v>165</v>
      </c>
      <c r="C136">
        <v>1</v>
      </c>
      <c r="D136" t="s">
        <v>49</v>
      </c>
      <c r="G136" t="s">
        <v>166</v>
      </c>
      <c r="H136" s="35" t="str">
        <f>VLOOKUP(Tableau68[[#This Row],[Utilisateur prevu]],Tableau3[[Prenoms (ID)]:[CABINET]],2,FALSE)</f>
        <v>ORANOVA</v>
      </c>
      <c r="I136" s="35" t="str">
        <f>VLOOKUP(Tableau68[[#This Row],[Utilisateur prevu]],Tableau3[[Prenoms (ID)]:[CABINET]],3,FALSE)</f>
        <v>BNI1</v>
      </c>
      <c r="J136" s="35">
        <f>VLOOKUP(Tableau68[[#This Row],[Utilisateur prevu]],Tableau3[[Prenoms (ID)]:[CABINET]],4,FALSE)</f>
        <v>0</v>
      </c>
      <c r="M136" t="s">
        <v>167</v>
      </c>
    </row>
    <row r="137" spans="1:13" hidden="1" x14ac:dyDescent="0.25">
      <c r="A137" s="2">
        <v>45649</v>
      </c>
      <c r="B137" s="27" t="s">
        <v>52</v>
      </c>
      <c r="C137">
        <v>40</v>
      </c>
      <c r="D137" t="s">
        <v>15</v>
      </c>
      <c r="E137" t="s">
        <v>105</v>
      </c>
      <c r="H137" t="e">
        <f>VLOOKUP(Tableau68[[#This Row],[Utilisateur prevu]],Tableau3[[Prenoms (ID)]:[CABINET]],2,FALSE)</f>
        <v>#N/A</v>
      </c>
      <c r="I137" t="e">
        <f>VLOOKUP(Tableau68[[#This Row],[Utilisateur prevu]],Tableau3[[Prenoms (ID)]:[CABINET]],3,FALSE)</f>
        <v>#N/A</v>
      </c>
      <c r="J137" t="e">
        <f>VLOOKUP(Tableau68[[#This Row],[Utilisateur prevu]],Tableau3[[Prenoms (ID)]:[CABINET]],4,FALSE)</f>
        <v>#N/A</v>
      </c>
      <c r="M137" t="s">
        <v>142</v>
      </c>
    </row>
    <row r="138" spans="1:13" hidden="1" x14ac:dyDescent="0.25">
      <c r="A138" s="2">
        <v>45649</v>
      </c>
      <c r="B138" s="27" t="s">
        <v>18</v>
      </c>
      <c r="C138">
        <v>300</v>
      </c>
      <c r="D138" t="s">
        <v>15</v>
      </c>
      <c r="E138" t="s">
        <v>105</v>
      </c>
      <c r="H138" t="e">
        <f>VLOOKUP(Tableau68[[#This Row],[Utilisateur prevu]],Tableau3[[Prenoms (ID)]:[CABINET]],2,FALSE)</f>
        <v>#N/A</v>
      </c>
      <c r="I138" t="e">
        <f>VLOOKUP(Tableau68[[#This Row],[Utilisateur prevu]],Tableau3[[Prenoms (ID)]:[CABINET]],3,FALSE)</f>
        <v>#N/A</v>
      </c>
      <c r="J138" t="e">
        <f>VLOOKUP(Tableau68[[#This Row],[Utilisateur prevu]],Tableau3[[Prenoms (ID)]:[CABINET]],4,FALSE)</f>
        <v>#N/A</v>
      </c>
      <c r="M138" t="s">
        <v>143</v>
      </c>
    </row>
    <row r="139" spans="1:13" hidden="1" x14ac:dyDescent="0.25">
      <c r="A139" s="46">
        <v>45663</v>
      </c>
      <c r="B139" s="27" t="s">
        <v>149</v>
      </c>
      <c r="C139">
        <v>1</v>
      </c>
      <c r="D139" t="s">
        <v>49</v>
      </c>
      <c r="G139" t="s">
        <v>168</v>
      </c>
      <c r="H139" s="35" t="str">
        <f>VLOOKUP(Tableau68[[#This Row],[Utilisateur prevu]],Tableau3[[Prenoms (ID)]:[CABINET]],2,FALSE)</f>
        <v>RECCI / Daniel</v>
      </c>
      <c r="I139" s="35" t="str">
        <f>VLOOKUP(Tableau68[[#This Row],[Utilisateur prevu]],Tableau3[[Prenoms (ID)]:[CABINET]],3,FALSE)</f>
        <v>BNI1</v>
      </c>
      <c r="J139" s="35">
        <f>VLOOKUP(Tableau68[[#This Row],[Utilisateur prevu]],Tableau3[[Prenoms (ID)]:[CABINET]],4,FALSE)</f>
        <v>0</v>
      </c>
      <c r="M139" t="s">
        <v>169</v>
      </c>
    </row>
    <row r="140" spans="1:13" hidden="1" x14ac:dyDescent="0.25">
      <c r="A140" s="46">
        <v>45663</v>
      </c>
      <c r="B140" s="27" t="s">
        <v>170</v>
      </c>
      <c r="C140">
        <v>1</v>
      </c>
      <c r="D140" t="s">
        <v>49</v>
      </c>
      <c r="G140" t="s">
        <v>171</v>
      </c>
      <c r="H140" s="35" t="str">
        <f>VLOOKUP(Tableau68[[#This Row],[Utilisateur prevu]],Tableau3[[Prenoms (ID)]:[CABINET]],2,FALSE)</f>
        <v>EXAULIA</v>
      </c>
      <c r="I140" s="35" t="str">
        <f>VLOOKUP(Tableau68[[#This Row],[Utilisateur prevu]],Tableau3[[Prenoms (ID)]:[CABINET]],3,FALSE)</f>
        <v>BNI1</v>
      </c>
      <c r="J140" s="35">
        <f>VLOOKUP(Tableau68[[#This Row],[Utilisateur prevu]],Tableau3[[Prenoms (ID)]:[CABINET]],4,FALSE)</f>
        <v>0</v>
      </c>
      <c r="M140" t="s">
        <v>172</v>
      </c>
    </row>
    <row r="141" spans="1:13" hidden="1" x14ac:dyDescent="0.25">
      <c r="A141" s="46">
        <v>45663</v>
      </c>
      <c r="B141" s="27" t="s">
        <v>161</v>
      </c>
      <c r="C141">
        <v>1</v>
      </c>
      <c r="D141" t="s">
        <v>49</v>
      </c>
      <c r="G141" t="s">
        <v>173</v>
      </c>
      <c r="H141" s="35" t="str">
        <f>VLOOKUP(Tableau68[[#This Row],[Utilisateur prevu]],Tableau3[[Prenoms (ID)]:[CABINET]],2,FALSE)</f>
        <v>Optique / Sata</v>
      </c>
      <c r="I141" s="35" t="str">
        <f>VLOOKUP(Tableau68[[#This Row],[Utilisateur prevu]],Tableau3[[Prenoms (ID)]:[CABINET]],3,FALSE)</f>
        <v>BNI1</v>
      </c>
      <c r="J141" s="35">
        <f>VLOOKUP(Tableau68[[#This Row],[Utilisateur prevu]],Tableau3[[Prenoms (ID)]:[CABINET]],4,FALSE)</f>
        <v>0</v>
      </c>
      <c r="M141" t="s">
        <v>174</v>
      </c>
    </row>
    <row r="142" spans="1:13" hidden="1" x14ac:dyDescent="0.25">
      <c r="A142" s="49">
        <v>45663</v>
      </c>
      <c r="B142" s="34" t="s">
        <v>161</v>
      </c>
      <c r="C142" s="12">
        <v>1</v>
      </c>
      <c r="D142" s="12" t="s">
        <v>49</v>
      </c>
      <c r="E142" s="12"/>
      <c r="F142" s="12"/>
      <c r="G142" s="12" t="s">
        <v>175</v>
      </c>
      <c r="H142" s="42" t="str">
        <f>VLOOKUP(Tableau68[[#This Row],[Utilisateur prevu]],Tableau3[[Prenoms (ID)]:[CABINET]],2,FALSE)</f>
        <v>EXAULIA</v>
      </c>
      <c r="I142" s="42" t="str">
        <f>VLOOKUP(Tableau68[[#This Row],[Utilisateur prevu]],Tableau3[[Prenoms (ID)]:[CABINET]],3,FALSE)</f>
        <v>BNI1</v>
      </c>
      <c r="J142" s="42">
        <f>VLOOKUP(Tableau68[[#This Row],[Utilisateur prevu]],Tableau3[[Prenoms (ID)]:[CABINET]],4,FALSE)</f>
        <v>0</v>
      </c>
      <c r="K142" s="12"/>
      <c r="L142" s="12"/>
      <c r="M142" s="12" t="s">
        <v>176</v>
      </c>
    </row>
    <row r="143" spans="1:13" hidden="1" x14ac:dyDescent="0.25">
      <c r="A143" s="46">
        <v>45663</v>
      </c>
      <c r="B143" s="27" t="s">
        <v>149</v>
      </c>
      <c r="C143">
        <v>1</v>
      </c>
      <c r="D143" t="s">
        <v>49</v>
      </c>
      <c r="G143" t="s">
        <v>177</v>
      </c>
      <c r="H143" s="35" t="str">
        <f>VLOOKUP(Tableau68[[#This Row],[Utilisateur prevu]],Tableau3[[Prenoms (ID)]:[CABINET]],2,FALSE)</f>
        <v>FEDIS</v>
      </c>
      <c r="I143" s="35" t="str">
        <f>VLOOKUP(Tableau68[[#This Row],[Utilisateur prevu]],Tableau3[[Prenoms (ID)]:[CABINET]],3,FALSE)</f>
        <v>MADAFIT</v>
      </c>
      <c r="J143" s="35">
        <f>VLOOKUP(Tableau68[[#This Row],[Utilisateur prevu]],Tableau3[[Prenoms (ID)]:[CABINET]],4,FALSE)</f>
        <v>0</v>
      </c>
      <c r="M143" t="s">
        <v>178</v>
      </c>
    </row>
    <row r="144" spans="1:13" hidden="1" x14ac:dyDescent="0.25">
      <c r="A144" s="46">
        <v>45663</v>
      </c>
      <c r="B144" s="27" t="s">
        <v>170</v>
      </c>
      <c r="C144">
        <v>1</v>
      </c>
      <c r="D144" t="s">
        <v>49</v>
      </c>
      <c r="G144" t="s">
        <v>179</v>
      </c>
      <c r="H144" s="35" t="str">
        <f>VLOOKUP(Tableau68[[#This Row],[Utilisateur prevu]],Tableau3[[Prenoms (ID)]:[CABINET]],2,FALSE)</f>
        <v>ECCENTIVE</v>
      </c>
      <c r="I144" s="35" t="str">
        <f>VLOOKUP(Tableau68[[#This Row],[Utilisateur prevu]],Tableau3[[Prenoms (ID)]:[CABINET]],3,FALSE)</f>
        <v>MADAFIT</v>
      </c>
      <c r="J144" s="35">
        <f>VLOOKUP(Tableau68[[#This Row],[Utilisateur prevu]],Tableau3[[Prenoms (ID)]:[CABINET]],4,FALSE)</f>
        <v>0</v>
      </c>
      <c r="M144" t="s">
        <v>180</v>
      </c>
    </row>
    <row r="145" spans="1:13" hidden="1" x14ac:dyDescent="0.25">
      <c r="A145" s="46">
        <v>45663</v>
      </c>
      <c r="B145" s="27" t="s">
        <v>170</v>
      </c>
      <c r="C145">
        <v>1</v>
      </c>
      <c r="D145" t="s">
        <v>49</v>
      </c>
      <c r="G145" t="s">
        <v>181</v>
      </c>
      <c r="H145" s="35" t="str">
        <f>VLOOKUP(Tableau68[[#This Row],[Utilisateur prevu]],Tableau3[[Prenoms (ID)]:[CABINET]],2,FALSE)</f>
        <v>TIIME</v>
      </c>
      <c r="I145" s="35">
        <f>VLOOKUP(Tableau68[[#This Row],[Utilisateur prevu]],Tableau3[[Prenoms (ID)]:[CABINET]],3,FALSE)</f>
        <v>0</v>
      </c>
      <c r="J145" s="35">
        <f>VLOOKUP(Tableau68[[#This Row],[Utilisateur prevu]],Tableau3[[Prenoms (ID)]:[CABINET]],4,FALSE)</f>
        <v>0</v>
      </c>
      <c r="M145" t="s">
        <v>182</v>
      </c>
    </row>
    <row r="146" spans="1:13" hidden="1" x14ac:dyDescent="0.25">
      <c r="A146" s="46">
        <v>45663</v>
      </c>
      <c r="B146" s="27" t="s">
        <v>161</v>
      </c>
      <c r="C146">
        <v>1</v>
      </c>
      <c r="D146" t="s">
        <v>49</v>
      </c>
      <c r="G146" t="s">
        <v>183</v>
      </c>
      <c r="H146" s="35" t="str">
        <f>VLOOKUP(Tableau68[[#This Row],[Utilisateur prevu]],Tableau3[[Prenoms (ID)]:[CABINET]],2,FALSE)</f>
        <v>TIIME</v>
      </c>
      <c r="I146" s="35">
        <f>VLOOKUP(Tableau68[[#This Row],[Utilisateur prevu]],Tableau3[[Prenoms (ID)]:[CABINET]],3,FALSE)</f>
        <v>0</v>
      </c>
      <c r="J146" s="35">
        <f>VLOOKUP(Tableau68[[#This Row],[Utilisateur prevu]],Tableau3[[Prenoms (ID)]:[CABINET]],4,FALSE)</f>
        <v>0</v>
      </c>
      <c r="M146" t="s">
        <v>184</v>
      </c>
    </row>
    <row r="147" spans="1:13" hidden="1" x14ac:dyDescent="0.25">
      <c r="A147" s="46">
        <v>45663</v>
      </c>
      <c r="B147" s="27" t="s">
        <v>185</v>
      </c>
      <c r="C147">
        <v>1</v>
      </c>
      <c r="D147" t="s">
        <v>49</v>
      </c>
      <c r="G147" t="s">
        <v>186</v>
      </c>
      <c r="H147" s="35" t="str">
        <f>VLOOKUP(Tableau68[[#This Row],[Utilisateur prevu]],Tableau3[[Prenoms (ID)]:[CABINET]],2,FALSE)</f>
        <v>ACCEFI</v>
      </c>
      <c r="I147" s="35" t="str">
        <f>VLOOKUP(Tableau68[[#This Row],[Utilisateur prevu]],Tableau3[[Prenoms (ID)]:[CABINET]],3,FALSE)</f>
        <v>MADAFIT</v>
      </c>
      <c r="J147" s="35">
        <f>VLOOKUP(Tableau68[[#This Row],[Utilisateur prevu]],Tableau3[[Prenoms (ID)]:[CABINET]],4,FALSE)</f>
        <v>0</v>
      </c>
      <c r="M147" t="s">
        <v>187</v>
      </c>
    </row>
    <row r="148" spans="1:13" hidden="1" x14ac:dyDescent="0.25">
      <c r="A148" s="46">
        <v>45663</v>
      </c>
      <c r="B148" s="27" t="s">
        <v>188</v>
      </c>
      <c r="C148">
        <v>1</v>
      </c>
      <c r="D148" t="s">
        <v>49</v>
      </c>
      <c r="G148" t="s">
        <v>189</v>
      </c>
      <c r="H148" s="35" t="str">
        <f>VLOOKUP(Tableau68[[#This Row],[Utilisateur prevu]],Tableau3[[Prenoms (ID)]:[CABINET]],2,FALSE)</f>
        <v>SOCIAL</v>
      </c>
      <c r="I148" s="35" t="str">
        <f>VLOOKUP(Tableau68[[#This Row],[Utilisateur prevu]],Tableau3[[Prenoms (ID)]:[CABINET]],3,FALSE)</f>
        <v>MADAFIT</v>
      </c>
      <c r="J148" s="35">
        <f>VLOOKUP(Tableau68[[#This Row],[Utilisateur prevu]],Tableau3[[Prenoms (ID)]:[CABINET]],4,FALSE)</f>
        <v>0</v>
      </c>
      <c r="M148" t="s">
        <v>190</v>
      </c>
    </row>
    <row r="149" spans="1:13" hidden="1" x14ac:dyDescent="0.25">
      <c r="A149" s="46">
        <v>45663</v>
      </c>
      <c r="B149" s="27" t="s">
        <v>149</v>
      </c>
      <c r="C149">
        <v>1</v>
      </c>
      <c r="D149" t="s">
        <v>49</v>
      </c>
      <c r="G149" t="s">
        <v>191</v>
      </c>
      <c r="H149" s="35" t="str">
        <f>VLOOKUP(Tableau68[[#This Row],[Utilisateur prevu]],Tableau3[[Prenoms (ID)]:[CABINET]],2,FALSE)</f>
        <v>OZEO</v>
      </c>
      <c r="I149" s="35" t="str">
        <f>VLOOKUP(Tableau68[[#This Row],[Utilisateur prevu]],Tableau3[[Prenoms (ID)]:[CABINET]],3,FALSE)</f>
        <v>MADAFIT</v>
      </c>
      <c r="J149" s="35">
        <f>VLOOKUP(Tableau68[[#This Row],[Utilisateur prevu]],Tableau3[[Prenoms (ID)]:[CABINET]],4,FALSE)</f>
        <v>0</v>
      </c>
      <c r="M149" t="s">
        <v>192</v>
      </c>
    </row>
    <row r="150" spans="1:13" hidden="1" x14ac:dyDescent="0.25">
      <c r="A150" s="46">
        <v>45663</v>
      </c>
      <c r="B150" s="27" t="s">
        <v>158</v>
      </c>
      <c r="C150">
        <v>1</v>
      </c>
      <c r="D150" t="s">
        <v>49</v>
      </c>
      <c r="G150" t="s">
        <v>193</v>
      </c>
      <c r="H150" s="35" t="str">
        <f>VLOOKUP(Tableau68[[#This Row],[Utilisateur prevu]],Tableau3[[Prenoms (ID)]:[CABINET]],2,FALSE)</f>
        <v>AUDIT CPA</v>
      </c>
      <c r="I150" s="35" t="str">
        <f>VLOOKUP(Tableau68[[#This Row],[Utilisateur prevu]],Tableau3[[Prenoms (ID)]:[CABINET]],3,FALSE)</f>
        <v>MADAFIT</v>
      </c>
      <c r="J150" s="35">
        <f>VLOOKUP(Tableau68[[#This Row],[Utilisateur prevu]],Tableau3[[Prenoms (ID)]:[CABINET]],4,FALSE)</f>
        <v>0</v>
      </c>
      <c r="M150" t="s">
        <v>194</v>
      </c>
    </row>
    <row r="151" spans="1:13" hidden="1" x14ac:dyDescent="0.25">
      <c r="A151" s="39">
        <v>45663</v>
      </c>
      <c r="B151" s="27" t="s">
        <v>195</v>
      </c>
      <c r="C151">
        <v>1</v>
      </c>
      <c r="D151" t="s">
        <v>49</v>
      </c>
      <c r="G151" t="s">
        <v>196</v>
      </c>
      <c r="H151" s="35" t="str">
        <f>VLOOKUP(Tableau68[[#This Row],[Utilisateur prevu]],Tableau3[[Prenoms (ID)]:[CABINET]],2,FALSE)</f>
        <v>AUDIT CPA</v>
      </c>
      <c r="I151" s="35" t="str">
        <f>VLOOKUP(Tableau68[[#This Row],[Utilisateur prevu]],Tableau3[[Prenoms (ID)]:[CABINET]],3,FALSE)</f>
        <v>MADAFIT</v>
      </c>
      <c r="J151" s="35">
        <f>VLOOKUP(Tableau68[[#This Row],[Utilisateur prevu]],Tableau3[[Prenoms (ID)]:[CABINET]],4,FALSE)</f>
        <v>0</v>
      </c>
      <c r="M151" t="s">
        <v>197</v>
      </c>
    </row>
    <row r="152" spans="1:13" hidden="1" x14ac:dyDescent="0.25">
      <c r="A152" s="40">
        <v>45663</v>
      </c>
      <c r="B152" s="27" t="s">
        <v>188</v>
      </c>
      <c r="C152">
        <v>1</v>
      </c>
      <c r="D152" t="s">
        <v>49</v>
      </c>
      <c r="G152" t="s">
        <v>198</v>
      </c>
      <c r="H152" s="35" t="str">
        <f>VLOOKUP(Tableau68[[#This Row],[Utilisateur prevu]],Tableau3[[Prenoms (ID)]:[CABINET]],2,FALSE)</f>
        <v>Comptastar</v>
      </c>
      <c r="I152" s="35" t="str">
        <f>VLOOKUP(Tableau68[[#This Row],[Utilisateur prevu]],Tableau3[[Prenoms (ID)]:[CABINET]],3,FALSE)</f>
        <v>CENTRE</v>
      </c>
      <c r="J152" s="35">
        <f>VLOOKUP(Tableau68[[#This Row],[Utilisateur prevu]],Tableau3[[Prenoms (ID)]:[CABINET]],4,FALSE)</f>
        <v>0</v>
      </c>
      <c r="M152" t="s">
        <v>199</v>
      </c>
    </row>
    <row r="153" spans="1:13" hidden="1" x14ac:dyDescent="0.25">
      <c r="A153" s="40">
        <v>45663</v>
      </c>
      <c r="B153" s="27" t="s">
        <v>161</v>
      </c>
      <c r="C153">
        <v>1</v>
      </c>
      <c r="D153" t="s">
        <v>49</v>
      </c>
      <c r="G153" t="s">
        <v>200</v>
      </c>
      <c r="H153" s="35" t="str">
        <f>VLOOKUP(Tableau68[[#This Row],[Utilisateur prevu]],Tableau3[[Prenoms (ID)]:[CABINET]],2,FALSE)</f>
        <v>Comptastar</v>
      </c>
      <c r="I153" s="35" t="str">
        <f>VLOOKUP(Tableau68[[#This Row],[Utilisateur prevu]],Tableau3[[Prenoms (ID)]:[CABINET]],3,FALSE)</f>
        <v>CENTRE</v>
      </c>
      <c r="J153" s="35">
        <f>VLOOKUP(Tableau68[[#This Row],[Utilisateur prevu]],Tableau3[[Prenoms (ID)]:[CABINET]],4,FALSE)</f>
        <v>0</v>
      </c>
      <c r="M153" t="s">
        <v>201</v>
      </c>
    </row>
    <row r="154" spans="1:13" hidden="1" x14ac:dyDescent="0.25">
      <c r="A154" s="40">
        <v>45663</v>
      </c>
      <c r="B154" s="27" t="s">
        <v>161</v>
      </c>
      <c r="C154">
        <v>1</v>
      </c>
      <c r="D154" t="s">
        <v>49</v>
      </c>
      <c r="G154" t="s">
        <v>202</v>
      </c>
      <c r="H154" s="35" t="str">
        <f>VLOOKUP(Tableau68[[#This Row],[Utilisateur prevu]],Tableau3[[Prenoms (ID)]:[CABINET]],2,FALSE)</f>
        <v>Comptastar</v>
      </c>
      <c r="I154" s="35" t="str">
        <f>VLOOKUP(Tableau68[[#This Row],[Utilisateur prevu]],Tableau3[[Prenoms (ID)]:[CABINET]],3,FALSE)</f>
        <v>CENTRE</v>
      </c>
      <c r="J154" s="35">
        <f>VLOOKUP(Tableau68[[#This Row],[Utilisateur prevu]],Tableau3[[Prenoms (ID)]:[CABINET]],4,FALSE)</f>
        <v>0</v>
      </c>
      <c r="M154" t="s">
        <v>203</v>
      </c>
    </row>
    <row r="155" spans="1:13" hidden="1" x14ac:dyDescent="0.25">
      <c r="A155" s="40">
        <v>45663</v>
      </c>
      <c r="B155" s="27" t="s">
        <v>204</v>
      </c>
      <c r="C155">
        <v>1</v>
      </c>
      <c r="D155" t="s">
        <v>49</v>
      </c>
      <c r="G155" t="s">
        <v>205</v>
      </c>
      <c r="H155" s="35" t="str">
        <f>VLOOKUP(Tableau68[[#This Row],[Utilisateur prevu]],Tableau3[[Prenoms (ID)]:[CABINET]],2,FALSE)</f>
        <v>Comptastar</v>
      </c>
      <c r="I155" s="35" t="str">
        <f>VLOOKUP(Tableau68[[#This Row],[Utilisateur prevu]],Tableau3[[Prenoms (ID)]:[CABINET]],3,FALSE)</f>
        <v>CENTRE</v>
      </c>
      <c r="J155" s="35">
        <f>VLOOKUP(Tableau68[[#This Row],[Utilisateur prevu]],Tableau3[[Prenoms (ID)]:[CABINET]],4,FALSE)</f>
        <v>0</v>
      </c>
      <c r="M155" t="s">
        <v>206</v>
      </c>
    </row>
    <row r="156" spans="1:13" hidden="1" x14ac:dyDescent="0.25">
      <c r="A156" s="40">
        <v>45663</v>
      </c>
      <c r="B156" s="27" t="s">
        <v>207</v>
      </c>
      <c r="C156">
        <v>1</v>
      </c>
      <c r="D156" t="s">
        <v>49</v>
      </c>
      <c r="G156" t="s">
        <v>208</v>
      </c>
      <c r="H156" s="35" t="str">
        <f>VLOOKUP(Tableau68[[#This Row],[Utilisateur prevu]],Tableau3[[Prenoms (ID)]:[CABINET]],2,FALSE)</f>
        <v>Comptastar</v>
      </c>
      <c r="I156" s="35" t="str">
        <f>VLOOKUP(Tableau68[[#This Row],[Utilisateur prevu]],Tableau3[[Prenoms (ID)]:[CABINET]],3,FALSE)</f>
        <v>CENTRE</v>
      </c>
      <c r="J156" s="35">
        <f>VLOOKUP(Tableau68[[#This Row],[Utilisateur prevu]],Tableau3[[Prenoms (ID)]:[CABINET]],4,FALSE)</f>
        <v>0</v>
      </c>
      <c r="M156" t="s">
        <v>209</v>
      </c>
    </row>
    <row r="157" spans="1:13" hidden="1" x14ac:dyDescent="0.25">
      <c r="A157" s="40">
        <v>45663</v>
      </c>
      <c r="B157" s="27" t="s">
        <v>195</v>
      </c>
      <c r="C157">
        <v>1</v>
      </c>
      <c r="D157" t="s">
        <v>49</v>
      </c>
      <c r="G157" t="s">
        <v>210</v>
      </c>
      <c r="H157" s="35" t="str">
        <f>VLOOKUP(Tableau68[[#This Row],[Utilisateur prevu]],Tableau3[[Prenoms (ID)]:[CABINET]],2,FALSE)</f>
        <v>Comptastar</v>
      </c>
      <c r="I157" s="35" t="str">
        <f>VLOOKUP(Tableau68[[#This Row],[Utilisateur prevu]],Tableau3[[Prenoms (ID)]:[CABINET]],3,FALSE)</f>
        <v>CENTRE</v>
      </c>
      <c r="J157" s="35">
        <f>VLOOKUP(Tableau68[[#This Row],[Utilisateur prevu]],Tableau3[[Prenoms (ID)]:[CABINET]],4,FALSE)</f>
        <v>0</v>
      </c>
      <c r="M157" t="s">
        <v>211</v>
      </c>
    </row>
    <row r="158" spans="1:13" hidden="1" x14ac:dyDescent="0.25">
      <c r="A158" s="40">
        <v>45663</v>
      </c>
      <c r="B158" s="27" t="s">
        <v>149</v>
      </c>
      <c r="C158">
        <v>1</v>
      </c>
      <c r="D158" t="s">
        <v>49</v>
      </c>
      <c r="G158" t="s">
        <v>212</v>
      </c>
      <c r="H158" s="35">
        <f>VLOOKUP(Tableau68[[#This Row],[Utilisateur prevu]],Tableau3[[Prenoms (ID)]:[CABINET]],2,FALSE)</f>
        <v>0</v>
      </c>
      <c r="I158" s="35">
        <f>VLOOKUP(Tableau68[[#This Row],[Utilisateur prevu]],Tableau3[[Prenoms (ID)]:[CABINET]],3,FALSE)</f>
        <v>0</v>
      </c>
      <c r="J158" s="35">
        <f>VLOOKUP(Tableau68[[#This Row],[Utilisateur prevu]],Tableau3[[Prenoms (ID)]:[CABINET]],4,FALSE)</f>
        <v>0</v>
      </c>
      <c r="M158" t="s">
        <v>213</v>
      </c>
    </row>
    <row r="159" spans="1:13" hidden="1" x14ac:dyDescent="0.25">
      <c r="A159" s="40">
        <v>45663</v>
      </c>
      <c r="B159" s="27" t="s">
        <v>152</v>
      </c>
      <c r="C159">
        <v>1</v>
      </c>
      <c r="D159" t="s">
        <v>49</v>
      </c>
      <c r="G159" t="s">
        <v>214</v>
      </c>
      <c r="H159" s="35" t="str">
        <f>VLOOKUP(Tableau68[[#This Row],[Utilisateur prevu]],Tableau3[[Prenoms (ID)]:[CABINET]],2,FALSE)</f>
        <v>ACCEFI</v>
      </c>
      <c r="I159" s="35" t="str">
        <f>VLOOKUP(Tableau68[[#This Row],[Utilisateur prevu]],Tableau3[[Prenoms (ID)]:[CABINET]],3,FALSE)</f>
        <v>CENTRE</v>
      </c>
      <c r="J159" s="35">
        <f>VLOOKUP(Tableau68[[#This Row],[Utilisateur prevu]],Tableau3[[Prenoms (ID)]:[CABINET]],4,FALSE)</f>
        <v>0</v>
      </c>
      <c r="M159" t="s">
        <v>215</v>
      </c>
    </row>
    <row r="160" spans="1:13" hidden="1" x14ac:dyDescent="0.25">
      <c r="A160" s="40">
        <v>45663</v>
      </c>
      <c r="B160" s="27" t="s">
        <v>152</v>
      </c>
      <c r="C160">
        <v>1</v>
      </c>
      <c r="D160" t="s">
        <v>49</v>
      </c>
      <c r="G160" t="s">
        <v>216</v>
      </c>
      <c r="H160" s="35">
        <f>VLOOKUP(Tableau68[[#This Row],[Utilisateur prevu]],Tableau3[[Prenoms (ID)]:[CABINET]],2,FALSE)</f>
        <v>0</v>
      </c>
      <c r="I160" s="35" t="str">
        <f>VLOOKUP(Tableau68[[#This Row],[Utilisateur prevu]],Tableau3[[Prenoms (ID)]:[CABINET]],3,FALSE)</f>
        <v>CENTRE</v>
      </c>
      <c r="J160" s="35">
        <f>VLOOKUP(Tableau68[[#This Row],[Utilisateur prevu]],Tableau3[[Prenoms (ID)]:[CABINET]],4,FALSE)</f>
        <v>0</v>
      </c>
      <c r="M160" t="s">
        <v>217</v>
      </c>
    </row>
    <row r="161" spans="1:13" hidden="1" x14ac:dyDescent="0.25">
      <c r="A161" s="40">
        <v>45663</v>
      </c>
      <c r="B161" s="27" t="s">
        <v>152</v>
      </c>
      <c r="C161">
        <v>1</v>
      </c>
      <c r="D161" t="s">
        <v>49</v>
      </c>
      <c r="G161" t="s">
        <v>218</v>
      </c>
      <c r="H161" s="35" t="str">
        <f>VLOOKUP(Tableau68[[#This Row],[Utilisateur prevu]],Tableau3[[Prenoms (ID)]:[CABINET]],2,FALSE)</f>
        <v>ECCENTIVE</v>
      </c>
      <c r="I161" s="35" t="str">
        <f>VLOOKUP(Tableau68[[#This Row],[Utilisateur prevu]],Tableau3[[Prenoms (ID)]:[CABINET]],3,FALSE)</f>
        <v>CENTRE</v>
      </c>
      <c r="J161" s="35">
        <f>VLOOKUP(Tableau68[[#This Row],[Utilisateur prevu]],Tableau3[[Prenoms (ID)]:[CABINET]],4,FALSE)</f>
        <v>0</v>
      </c>
      <c r="M161" t="s">
        <v>219</v>
      </c>
    </row>
    <row r="162" spans="1:13" hidden="1" x14ac:dyDescent="0.25">
      <c r="A162" s="40">
        <v>45663</v>
      </c>
      <c r="B162" s="27" t="s">
        <v>161</v>
      </c>
      <c r="C162">
        <v>1</v>
      </c>
      <c r="D162" t="s">
        <v>49</v>
      </c>
      <c r="G162" t="s">
        <v>220</v>
      </c>
      <c r="H162" s="35">
        <f>VLOOKUP(Tableau68[[#This Row],[Utilisateur prevu]],Tableau3[[Prenoms (ID)]:[CABINET]],2,FALSE)</f>
        <v>0</v>
      </c>
      <c r="I162" s="35" t="str">
        <f>VLOOKUP(Tableau68[[#This Row],[Utilisateur prevu]],Tableau3[[Prenoms (ID)]:[CABINET]],3,FALSE)</f>
        <v>MADAFIT</v>
      </c>
      <c r="J162" s="35">
        <f>VLOOKUP(Tableau68[[#This Row],[Utilisateur prevu]],Tableau3[[Prenoms (ID)]:[CABINET]],4,FALSE)</f>
        <v>0</v>
      </c>
      <c r="M162" t="s">
        <v>221</v>
      </c>
    </row>
    <row r="163" spans="1:13" hidden="1" x14ac:dyDescent="0.25">
      <c r="A163" s="40">
        <v>45663</v>
      </c>
      <c r="B163" s="27" t="s">
        <v>188</v>
      </c>
      <c r="C163">
        <v>1</v>
      </c>
      <c r="D163" t="s">
        <v>49</v>
      </c>
      <c r="G163" t="s">
        <v>222</v>
      </c>
      <c r="H163" s="35" t="str">
        <f>VLOOKUP(Tableau68[[#This Row],[Utilisateur prevu]],Tableau3[[Prenoms (ID)]:[CABINET]],2,FALSE)</f>
        <v>AGE CONSEIL</v>
      </c>
      <c r="I163" s="35" t="str">
        <f>VLOOKUP(Tableau68[[#This Row],[Utilisateur prevu]],Tableau3[[Prenoms (ID)]:[CABINET]],3,FALSE)</f>
        <v>CENTRE</v>
      </c>
      <c r="J163" s="35">
        <f>VLOOKUP(Tableau68[[#This Row],[Utilisateur prevu]],Tableau3[[Prenoms (ID)]:[CABINET]],4,FALSE)</f>
        <v>0</v>
      </c>
      <c r="M163" t="s">
        <v>223</v>
      </c>
    </row>
    <row r="164" spans="1:13" hidden="1" x14ac:dyDescent="0.25">
      <c r="A164" s="40">
        <v>45663</v>
      </c>
      <c r="B164" s="27" t="s">
        <v>224</v>
      </c>
      <c r="C164">
        <v>1</v>
      </c>
      <c r="D164" t="s">
        <v>49</v>
      </c>
      <c r="G164" t="s">
        <v>225</v>
      </c>
      <c r="H164" s="35" t="str">
        <f>VLOOKUP(Tableau68[[#This Row],[Utilisateur prevu]],Tableau3[[Prenoms (ID)]:[CABINET]],2,FALSE)</f>
        <v>AUDIT CPA</v>
      </c>
      <c r="I164" s="35" t="str">
        <f>VLOOKUP(Tableau68[[#This Row],[Utilisateur prevu]],Tableau3[[Prenoms (ID)]:[CABINET]],3,FALSE)</f>
        <v>MATURA</v>
      </c>
      <c r="J164" s="35">
        <f>VLOOKUP(Tableau68[[#This Row],[Utilisateur prevu]],Tableau3[[Prenoms (ID)]:[CABINET]],4,FALSE)</f>
        <v>0</v>
      </c>
      <c r="M164" t="s">
        <v>226</v>
      </c>
    </row>
    <row r="165" spans="1:13" hidden="1" x14ac:dyDescent="0.25">
      <c r="A165" s="40">
        <v>45663</v>
      </c>
      <c r="B165" s="27" t="s">
        <v>152</v>
      </c>
      <c r="C165">
        <v>1</v>
      </c>
      <c r="D165" t="s">
        <v>49</v>
      </c>
      <c r="G165" t="s">
        <v>227</v>
      </c>
      <c r="H165" s="35" t="str">
        <f>VLOOKUP(Tableau68[[#This Row],[Utilisateur prevu]],Tableau3[[Prenoms (ID)]:[CABINET]],2,FALSE)</f>
        <v>Info/Data</v>
      </c>
      <c r="I165" s="35" t="str">
        <f>VLOOKUP(Tableau68[[#This Row],[Utilisateur prevu]],Tableau3[[Prenoms (ID)]:[CABINET]],3,FALSE)</f>
        <v>Informatique</v>
      </c>
      <c r="J165" s="35">
        <f>VLOOKUP(Tableau68[[#This Row],[Utilisateur prevu]],Tableau3[[Prenoms (ID)]:[CABINET]],4,FALSE)</f>
        <v>0</v>
      </c>
      <c r="M165" t="s">
        <v>228</v>
      </c>
    </row>
    <row r="166" spans="1:13" hidden="1" x14ac:dyDescent="0.25">
      <c r="A166" s="40">
        <v>45663</v>
      </c>
      <c r="B166" s="27" t="s">
        <v>161</v>
      </c>
      <c r="C166">
        <v>1</v>
      </c>
      <c r="D166" t="s">
        <v>49</v>
      </c>
      <c r="G166" t="s">
        <v>229</v>
      </c>
      <c r="H166" s="35" t="str">
        <f>VLOOKUP(Tableau68[[#This Row],[Utilisateur prevu]],Tableau3[[Prenoms (ID)]:[CABINET]],2,FALSE)</f>
        <v>ADMIN</v>
      </c>
      <c r="I166" s="35" t="str">
        <f>VLOOKUP(Tableau68[[#This Row],[Utilisateur prevu]],Tableau3[[Prenoms (ID)]:[CABINET]],3,FALSE)</f>
        <v>MATURA</v>
      </c>
      <c r="J166" s="35">
        <f>VLOOKUP(Tableau68[[#This Row],[Utilisateur prevu]],Tableau3[[Prenoms (ID)]:[CABINET]],4,FALSE)</f>
        <v>0</v>
      </c>
      <c r="M166" t="s">
        <v>230</v>
      </c>
    </row>
    <row r="167" spans="1:13" hidden="1" x14ac:dyDescent="0.25">
      <c r="A167" s="40">
        <v>45663</v>
      </c>
      <c r="B167" s="27" t="s">
        <v>161</v>
      </c>
      <c r="C167">
        <v>1</v>
      </c>
      <c r="D167" t="s">
        <v>49</v>
      </c>
      <c r="G167" t="s">
        <v>231</v>
      </c>
      <c r="H167" s="35" t="str">
        <f>VLOOKUP(Tableau68[[#This Row],[Utilisateur prevu]],Tableau3[[Prenoms (ID)]:[CABINET]],2,FALSE)</f>
        <v>KOZE</v>
      </c>
      <c r="I167" s="35" t="str">
        <f>VLOOKUP(Tableau68[[#This Row],[Utilisateur prevu]],Tableau3[[Prenoms (ID)]:[CABINET]],3,FALSE)</f>
        <v>CENTRE</v>
      </c>
      <c r="J167" s="35">
        <f>VLOOKUP(Tableau68[[#This Row],[Utilisateur prevu]],Tableau3[[Prenoms (ID)]:[CABINET]],4,FALSE)</f>
        <v>0</v>
      </c>
      <c r="M167" t="s">
        <v>232</v>
      </c>
    </row>
    <row r="168" spans="1:13" hidden="1" x14ac:dyDescent="0.25">
      <c r="A168" s="40">
        <v>45664</v>
      </c>
      <c r="B168" s="27" t="s">
        <v>233</v>
      </c>
      <c r="C168">
        <v>1</v>
      </c>
      <c r="D168" t="s">
        <v>49</v>
      </c>
      <c r="G168" t="s">
        <v>234</v>
      </c>
      <c r="H168" s="35" t="str">
        <f>VLOOKUP(Tableau68[[#This Row],[Utilisateur prevu]],Tableau3[[Prenoms (ID)]:[CABINET]],2,FALSE)</f>
        <v>RUEIL</v>
      </c>
      <c r="I168" s="35" t="str">
        <f>VLOOKUP(Tableau68[[#This Row],[Utilisateur prevu]],Tableau3[[Prenoms (ID)]:[CABINET]],3,FALSE)</f>
        <v>BNI1</v>
      </c>
      <c r="J168" s="35">
        <f>VLOOKUP(Tableau68[[#This Row],[Utilisateur prevu]],Tableau3[[Prenoms (ID)]:[CABINET]],4,FALSE)</f>
        <v>0</v>
      </c>
      <c r="M168" t="s">
        <v>235</v>
      </c>
    </row>
    <row r="169" spans="1:13" hidden="1" x14ac:dyDescent="0.25">
      <c r="A169" s="40">
        <v>45664</v>
      </c>
      <c r="B169" s="27" t="s">
        <v>158</v>
      </c>
      <c r="C169">
        <v>1</v>
      </c>
      <c r="D169" t="s">
        <v>49</v>
      </c>
      <c r="G169" t="s">
        <v>236</v>
      </c>
      <c r="H169" s="35" t="str">
        <f>VLOOKUP(Tableau68[[#This Row],[Utilisateur prevu]],Tableau3[[Prenoms (ID)]:[CABINET]],2,FALSE)</f>
        <v>RUEIL</v>
      </c>
      <c r="I169" s="35" t="str">
        <f>VLOOKUP(Tableau68[[#This Row],[Utilisateur prevu]],Tableau3[[Prenoms (ID)]:[CABINET]],3,FALSE)</f>
        <v>BNI1</v>
      </c>
      <c r="J169" s="35">
        <f>VLOOKUP(Tableau68[[#This Row],[Utilisateur prevu]],Tableau3[[Prenoms (ID)]:[CABINET]],4,FALSE)</f>
        <v>0</v>
      </c>
      <c r="M169" t="s">
        <v>237</v>
      </c>
    </row>
    <row r="170" spans="1:13" hidden="1" x14ac:dyDescent="0.25">
      <c r="A170" s="40">
        <v>45664</v>
      </c>
      <c r="B170" s="27" t="s">
        <v>238</v>
      </c>
      <c r="C170">
        <v>1</v>
      </c>
      <c r="D170" t="s">
        <v>49</v>
      </c>
      <c r="G170" t="s">
        <v>239</v>
      </c>
      <c r="H170" s="35" t="str">
        <f>VLOOKUP(Tableau68[[#This Row],[Utilisateur prevu]],Tableau3[[Prenoms (ID)]:[CABINET]],2,FALSE)</f>
        <v>Optique / Mirado</v>
      </c>
      <c r="I170" s="35" t="str">
        <f>VLOOKUP(Tableau68[[#This Row],[Utilisateur prevu]],Tableau3[[Prenoms (ID)]:[CABINET]],3,FALSE)</f>
        <v>BNI1</v>
      </c>
      <c r="J170" s="35">
        <f>VLOOKUP(Tableau68[[#This Row],[Utilisateur prevu]],Tableau3[[Prenoms (ID)]:[CABINET]],4,FALSE)</f>
        <v>0</v>
      </c>
      <c r="M170" t="s">
        <v>240</v>
      </c>
    </row>
    <row r="171" spans="1:13" hidden="1" x14ac:dyDescent="0.25">
      <c r="A171" s="40">
        <v>45665</v>
      </c>
      <c r="B171" s="27" t="s">
        <v>241</v>
      </c>
      <c r="C171">
        <v>1</v>
      </c>
      <c r="D171" t="s">
        <v>49</v>
      </c>
      <c r="G171" t="s">
        <v>242</v>
      </c>
      <c r="H171" s="35" t="str">
        <f>VLOOKUP(Tableau68[[#This Row],[Utilisateur prevu]],Tableau3[[Prenoms (ID)]:[CABINET]],2,FALSE)</f>
        <v>ORANOVA</v>
      </c>
      <c r="I171" s="35" t="str">
        <f>VLOOKUP(Tableau68[[#This Row],[Utilisateur prevu]],Tableau3[[Prenoms (ID)]:[CABINET]],3,FALSE)</f>
        <v>BNI1</v>
      </c>
      <c r="J171" s="35">
        <f>VLOOKUP(Tableau68[[#This Row],[Utilisateur prevu]],Tableau3[[Prenoms (ID)]:[CABINET]],4,FALSE)</f>
        <v>0</v>
      </c>
      <c r="M171" t="s">
        <v>243</v>
      </c>
    </row>
    <row r="172" spans="1:13" hidden="1" x14ac:dyDescent="0.25">
      <c r="A172" s="48">
        <v>45666</v>
      </c>
      <c r="B172" s="27" t="s">
        <v>18</v>
      </c>
      <c r="C172">
        <v>300</v>
      </c>
      <c r="D172" t="s">
        <v>15</v>
      </c>
      <c r="E172" t="s">
        <v>105</v>
      </c>
      <c r="H172" t="e">
        <f>VLOOKUP(Tableau68[[#This Row],[Utilisateur prevu]],Tableau3[[Prenoms (ID)]:[CABINET]],2,FALSE)</f>
        <v>#N/A</v>
      </c>
      <c r="I172" t="e">
        <f>VLOOKUP(Tableau68[[#This Row],[Utilisateur prevu]],Tableau3[[Prenoms (ID)]:[CABINET]],3,FALSE)</f>
        <v>#N/A</v>
      </c>
      <c r="J172" t="e">
        <f>VLOOKUP(Tableau68[[#This Row],[Utilisateur prevu]],Tableau3[[Prenoms (ID)]:[CABINET]],4,FALSE)</f>
        <v>#N/A</v>
      </c>
      <c r="M172" t="s">
        <v>143</v>
      </c>
    </row>
    <row r="173" spans="1:13" hidden="1" x14ac:dyDescent="0.25">
      <c r="A173" s="48">
        <v>45670</v>
      </c>
      <c r="B173" s="27" t="s">
        <v>18</v>
      </c>
      <c r="C173">
        <v>300</v>
      </c>
      <c r="D173" t="s">
        <v>15</v>
      </c>
      <c r="E173" t="s">
        <v>105</v>
      </c>
      <c r="H173" t="e">
        <f>VLOOKUP(Tableau68[[#This Row],[Utilisateur prevu]],Tableau3[[Prenoms (ID)]:[CABINET]],2,FALSE)</f>
        <v>#N/A</v>
      </c>
      <c r="I173" t="e">
        <f>VLOOKUP(Tableau68[[#This Row],[Utilisateur prevu]],Tableau3[[Prenoms (ID)]:[CABINET]],3,FALSE)</f>
        <v>#N/A</v>
      </c>
      <c r="J173" t="e">
        <f>VLOOKUP(Tableau68[[#This Row],[Utilisateur prevu]],Tableau3[[Prenoms (ID)]:[CABINET]],4,FALSE)</f>
        <v>#N/A</v>
      </c>
      <c r="M173" t="s">
        <v>143</v>
      </c>
    </row>
    <row r="174" spans="1:13" hidden="1" x14ac:dyDescent="0.25">
      <c r="A174" s="48">
        <v>45674</v>
      </c>
      <c r="B174" s="27" t="s">
        <v>244</v>
      </c>
      <c r="C174">
        <v>1</v>
      </c>
      <c r="D174" t="s">
        <v>49</v>
      </c>
      <c r="E174" t="s">
        <v>105</v>
      </c>
      <c r="H174" t="e">
        <f>VLOOKUP(Tableau68[[#This Row],[Utilisateur prevu]],Tableau3[[Prenoms (ID)]:[CABINET]],2,FALSE)</f>
        <v>#N/A</v>
      </c>
      <c r="I174" t="e">
        <f>VLOOKUP(Tableau68[[#This Row],[Utilisateur prevu]],Tableau3[[Prenoms (ID)]:[CABINET]],3,FALSE)</f>
        <v>#N/A</v>
      </c>
      <c r="J174" t="e">
        <f>VLOOKUP(Tableau68[[#This Row],[Utilisateur prevu]],Tableau3[[Prenoms (ID)]:[CABINET]],4,FALSE)</f>
        <v>#N/A</v>
      </c>
      <c r="M174" t="s">
        <v>245</v>
      </c>
    </row>
    <row r="175" spans="1:13" hidden="1" x14ac:dyDescent="0.25">
      <c r="A175" s="48">
        <v>45684</v>
      </c>
      <c r="B175" s="27" t="s">
        <v>18</v>
      </c>
      <c r="C175">
        <v>300</v>
      </c>
      <c r="D175" t="s">
        <v>129</v>
      </c>
      <c r="E175" t="s">
        <v>105</v>
      </c>
      <c r="H175" t="e">
        <f>VLOOKUP(Tableau68[[#This Row],[Utilisateur prevu]],Tableau3[[Prenoms (ID)]:[CABINET]],2,FALSE)</f>
        <v>#N/A</v>
      </c>
      <c r="I175" t="e">
        <f>VLOOKUP(Tableau68[[#This Row],[Utilisateur prevu]],Tableau3[[Prenoms (ID)]:[CABINET]],3,FALSE)</f>
        <v>#N/A</v>
      </c>
      <c r="J175" t="e">
        <f>VLOOKUP(Tableau68[[#This Row],[Utilisateur prevu]],Tableau3[[Prenoms (ID)]:[CABINET]],4,FALSE)</f>
        <v>#N/A</v>
      </c>
    </row>
    <row r="176" spans="1:13" hidden="1" x14ac:dyDescent="0.25">
      <c r="A176" s="48">
        <v>45695</v>
      </c>
      <c r="B176" s="27" t="s">
        <v>65</v>
      </c>
      <c r="C176">
        <v>1</v>
      </c>
      <c r="D176" t="s">
        <v>49</v>
      </c>
      <c r="E176" t="s">
        <v>105</v>
      </c>
      <c r="H176" t="e">
        <f>VLOOKUP(Tableau68[[#This Row],[Utilisateur prevu]],Tableau3[[Prenoms (ID)]:[CABINET]],2,FALSE)</f>
        <v>#N/A</v>
      </c>
      <c r="I176" t="e">
        <f>VLOOKUP(Tableau68[[#This Row],[Utilisateur prevu]],Tableau3[[Prenoms (ID)]:[CABINET]],3,FALSE)</f>
        <v>#N/A</v>
      </c>
      <c r="J176" t="e">
        <f>VLOOKUP(Tableau68[[#This Row],[Utilisateur prevu]],Tableau3[[Prenoms (ID)]:[CABINET]],4,FALSE)</f>
        <v>#N/A</v>
      </c>
      <c r="M176" t="s">
        <v>245</v>
      </c>
    </row>
    <row r="177" spans="1:13" hidden="1" x14ac:dyDescent="0.25">
      <c r="A177" s="48">
        <v>45695</v>
      </c>
      <c r="B177" s="27" t="s">
        <v>24</v>
      </c>
      <c r="C177">
        <v>2</v>
      </c>
      <c r="D177" t="s">
        <v>15</v>
      </c>
      <c r="E177" t="s">
        <v>105</v>
      </c>
      <c r="H177" t="e">
        <f>VLOOKUP(Tableau68[[#This Row],[Utilisateur prevu]],Tableau3[[Prenoms (ID)]:[CABINET]],2,FALSE)</f>
        <v>#N/A</v>
      </c>
      <c r="I177" t="e">
        <f>VLOOKUP(Tableau68[[#This Row],[Utilisateur prevu]],Tableau3[[Prenoms (ID)]:[CABINET]],3,FALSE)</f>
        <v>#N/A</v>
      </c>
      <c r="J177" t="e">
        <f>VLOOKUP(Tableau68[[#This Row],[Utilisateur prevu]],Tableau3[[Prenoms (ID)]:[CABINET]],4,FALSE)</f>
        <v>#N/A</v>
      </c>
      <c r="M177" t="s">
        <v>107</v>
      </c>
    </row>
    <row r="178" spans="1:13" hidden="1" x14ac:dyDescent="0.25">
      <c r="A178" s="48">
        <v>45695</v>
      </c>
      <c r="B178" s="27" t="s">
        <v>246</v>
      </c>
      <c r="C178">
        <v>1</v>
      </c>
      <c r="D178" t="s">
        <v>49</v>
      </c>
      <c r="E178" t="s">
        <v>105</v>
      </c>
      <c r="H178" t="e">
        <f>VLOOKUP(Tableau68[[#This Row],[Utilisateur prevu]],Tableau3[[Prenoms (ID)]:[CABINET]],2,FALSE)</f>
        <v>#N/A</v>
      </c>
      <c r="I178" t="e">
        <f>VLOOKUP(Tableau68[[#This Row],[Utilisateur prevu]],Tableau3[[Prenoms (ID)]:[CABINET]],3,FALSE)</f>
        <v>#N/A</v>
      </c>
      <c r="J178" t="e">
        <f>VLOOKUP(Tableau68[[#This Row],[Utilisateur prevu]],Tableau3[[Prenoms (ID)]:[CABINET]],4,FALSE)</f>
        <v>#N/A</v>
      </c>
      <c r="M178" t="s">
        <v>247</v>
      </c>
    </row>
    <row r="179" spans="1:13" hidden="1" x14ac:dyDescent="0.25">
      <c r="A179" s="48">
        <v>45695</v>
      </c>
      <c r="B179" s="27" t="s">
        <v>248</v>
      </c>
      <c r="C179">
        <v>2</v>
      </c>
      <c r="D179" t="s">
        <v>15</v>
      </c>
      <c r="E179" t="s">
        <v>105</v>
      </c>
      <c r="H179" t="e">
        <f>VLOOKUP(Tableau68[[#This Row],[Utilisateur prevu]],Tableau3[[Prenoms (ID)]:[CABINET]],2,FALSE)</f>
        <v>#N/A</v>
      </c>
      <c r="I179" t="e">
        <f>VLOOKUP(Tableau68[[#This Row],[Utilisateur prevu]],Tableau3[[Prenoms (ID)]:[CABINET]],3,FALSE)</f>
        <v>#N/A</v>
      </c>
      <c r="J179" t="e">
        <f>VLOOKUP(Tableau68[[#This Row],[Utilisateur prevu]],Tableau3[[Prenoms (ID)]:[CABINET]],4,FALSE)</f>
        <v>#N/A</v>
      </c>
      <c r="M179" t="s">
        <v>245</v>
      </c>
    </row>
    <row r="180" spans="1:13" hidden="1" x14ac:dyDescent="0.25">
      <c r="A180" s="48">
        <v>45695</v>
      </c>
      <c r="B180" s="27" t="s">
        <v>28</v>
      </c>
      <c r="C180">
        <v>12</v>
      </c>
      <c r="D180" t="s">
        <v>15</v>
      </c>
      <c r="E180" t="s">
        <v>105</v>
      </c>
      <c r="H180" t="e">
        <f>VLOOKUP(Tableau68[[#This Row],[Utilisateur prevu]],Tableau3[[Prenoms (ID)]:[CABINET]],2,FALSE)</f>
        <v>#N/A</v>
      </c>
      <c r="I180" t="e">
        <f>VLOOKUP(Tableau68[[#This Row],[Utilisateur prevu]],Tableau3[[Prenoms (ID)]:[CABINET]],3,FALSE)</f>
        <v>#N/A</v>
      </c>
      <c r="J180" t="e">
        <f>VLOOKUP(Tableau68[[#This Row],[Utilisateur prevu]],Tableau3[[Prenoms (ID)]:[CABINET]],4,FALSE)</f>
        <v>#N/A</v>
      </c>
      <c r="M180" t="s">
        <v>249</v>
      </c>
    </row>
    <row r="181" spans="1:13" hidden="1" x14ac:dyDescent="0.25">
      <c r="A181" s="48">
        <v>45695</v>
      </c>
      <c r="B181" s="27" t="s">
        <v>52</v>
      </c>
      <c r="C181">
        <v>20</v>
      </c>
      <c r="D181" t="s">
        <v>15</v>
      </c>
      <c r="E181" t="s">
        <v>16</v>
      </c>
      <c r="G181" t="s">
        <v>17</v>
      </c>
      <c r="H181">
        <f>VLOOKUP(Tableau68[[#This Row],[Utilisateur prevu]],Tableau3[[Prenoms (ID)]:[CABINET]],2,FALSE)</f>
        <v>0</v>
      </c>
      <c r="I181" t="str">
        <f>VLOOKUP(Tableau68[[#This Row],[Utilisateur prevu]],Tableau3[[Prenoms (ID)]:[CABINET]],3,FALSE)</f>
        <v>MADAFIT</v>
      </c>
      <c r="J181">
        <f>VLOOKUP(Tableau68[[#This Row],[Utilisateur prevu]],Tableau3[[Prenoms (ID)]:[CABINET]],4,FALSE)</f>
        <v>0</v>
      </c>
    </row>
    <row r="182" spans="1:13" hidden="1" x14ac:dyDescent="0.25">
      <c r="A182" s="48">
        <v>45695</v>
      </c>
      <c r="B182" s="27" t="s">
        <v>52</v>
      </c>
      <c r="C182">
        <v>20</v>
      </c>
      <c r="D182" t="s">
        <v>15</v>
      </c>
      <c r="E182" t="s">
        <v>105</v>
      </c>
      <c r="G182" t="s">
        <v>17</v>
      </c>
      <c r="H182">
        <f>VLOOKUP(Tableau68[[#This Row],[Utilisateur prevu]],Tableau3[[Prenoms (ID)]:[CABINET]],2,FALSE)</f>
        <v>0</v>
      </c>
      <c r="I182" t="str">
        <f>VLOOKUP(Tableau68[[#This Row],[Utilisateur prevu]],Tableau3[[Prenoms (ID)]:[CABINET]],3,FALSE)</f>
        <v>MADAFIT</v>
      </c>
      <c r="J182">
        <f>VLOOKUP(Tableau68[[#This Row],[Utilisateur prevu]],Tableau3[[Prenoms (ID)]:[CABINET]],4,FALSE)</f>
        <v>0</v>
      </c>
    </row>
    <row r="183" spans="1:13" hidden="1" x14ac:dyDescent="0.25">
      <c r="A183" s="48">
        <v>45695</v>
      </c>
      <c r="B183" s="27" t="s">
        <v>24</v>
      </c>
      <c r="C183">
        <v>2</v>
      </c>
      <c r="G183" t="s">
        <v>17</v>
      </c>
      <c r="H183">
        <f>VLOOKUP(Tableau68[[#This Row],[Utilisateur prevu]],Tableau3[[Prenoms (ID)]:[CABINET]],2,FALSE)</f>
        <v>0</v>
      </c>
      <c r="I183" t="str">
        <f>VLOOKUP(Tableau68[[#This Row],[Utilisateur prevu]],Tableau3[[Prenoms (ID)]:[CABINET]],3,FALSE)</f>
        <v>MADAFIT</v>
      </c>
      <c r="J183">
        <f>VLOOKUP(Tableau68[[#This Row],[Utilisateur prevu]],Tableau3[[Prenoms (ID)]:[CABINET]],4,FALSE)</f>
        <v>0</v>
      </c>
    </row>
    <row r="184" spans="1:13" hidden="1" x14ac:dyDescent="0.25">
      <c r="A184" s="48">
        <v>45695</v>
      </c>
      <c r="B184" s="27" t="s">
        <v>248</v>
      </c>
      <c r="C184">
        <v>1</v>
      </c>
      <c r="E184" t="s">
        <v>250</v>
      </c>
      <c r="H184" t="e">
        <f>VLOOKUP(Tableau68[[#This Row],[Utilisateur prevu]],Tableau3[[Prenoms (ID)]:[CABINET]],2,FALSE)</f>
        <v>#N/A</v>
      </c>
      <c r="I184" t="e">
        <f>VLOOKUP(Tableau68[[#This Row],[Utilisateur prevu]],Tableau3[[Prenoms (ID)]:[CABINET]],3,FALSE)</f>
        <v>#N/A</v>
      </c>
      <c r="J184" t="e">
        <f>VLOOKUP(Tableau68[[#This Row],[Utilisateur prevu]],Tableau3[[Prenoms (ID)]:[CABINET]],4,FALSE)</f>
        <v>#N/A</v>
      </c>
    </row>
    <row r="185" spans="1:13" hidden="1" x14ac:dyDescent="0.25">
      <c r="A185" s="48">
        <v>45695</v>
      </c>
      <c r="B185" s="27" t="s">
        <v>244</v>
      </c>
      <c r="C185">
        <v>1</v>
      </c>
      <c r="E185" t="s">
        <v>251</v>
      </c>
      <c r="G185" t="s">
        <v>252</v>
      </c>
      <c r="H185">
        <f>VLOOKUP(Tableau68[[#This Row],[Utilisateur prevu]],Tableau3[[Prenoms (ID)]:[CABINET]],2,FALSE)</f>
        <v>0</v>
      </c>
      <c r="I185" t="str">
        <f>VLOOKUP(Tableau68[[#This Row],[Utilisateur prevu]],Tableau3[[Prenoms (ID)]:[CABINET]],3,FALSE)</f>
        <v>BNI</v>
      </c>
      <c r="J185" t="str">
        <f>VLOOKUP(Tableau68[[#This Row],[Utilisateur prevu]],Tableau3[[Prenoms (ID)]:[CABINET]],4,FALSE)</f>
        <v>RFC</v>
      </c>
    </row>
    <row r="186" spans="1:13" x14ac:dyDescent="0.25">
      <c r="A186" s="48">
        <v>45695</v>
      </c>
      <c r="B186" s="27" t="s">
        <v>34</v>
      </c>
      <c r="C186">
        <v>1</v>
      </c>
      <c r="G186" t="s">
        <v>68</v>
      </c>
      <c r="H186" t="str">
        <f>VLOOKUP(Tableau68[[#This Row],[Utilisateur prevu]],Tableau3[[Prenoms (ID)]:[CABINET]],2,FALSE)</f>
        <v>Administration</v>
      </c>
      <c r="I186">
        <f>VLOOKUP(Tableau68[[#This Row],[Utilisateur prevu]],Tableau3[[Prenoms (ID)]:[CABINET]],3,FALSE)</f>
        <v>0</v>
      </c>
      <c r="J186">
        <f>VLOOKUP(Tableau68[[#This Row],[Utilisateur prevu]],Tableau3[[Prenoms (ID)]:[CABINET]],4,FALSE)</f>
        <v>0</v>
      </c>
    </row>
    <row r="187" spans="1:13" hidden="1" x14ac:dyDescent="0.25">
      <c r="A187" s="48">
        <v>45705</v>
      </c>
      <c r="B187" s="27" t="s">
        <v>253</v>
      </c>
      <c r="C187">
        <v>100</v>
      </c>
      <c r="H187" t="e">
        <f>VLOOKUP(Tableau68[[#This Row],[Utilisateur prevu]],Tableau3[[Prenoms (ID)]:[CABINET]],2,FALSE)</f>
        <v>#N/A</v>
      </c>
      <c r="I187" t="e">
        <f>VLOOKUP(Tableau68[[#This Row],[Utilisateur prevu]],Tableau3[[Prenoms (ID)]:[CABINET]],3,FALSE)</f>
        <v>#N/A</v>
      </c>
      <c r="J187" t="e">
        <f>VLOOKUP(Tableau68[[#This Row],[Utilisateur prevu]],Tableau3[[Prenoms (ID)]:[CABINET]],4,FALSE)</f>
        <v>#N/A</v>
      </c>
    </row>
    <row r="188" spans="1:13" hidden="1" x14ac:dyDescent="0.25">
      <c r="A188" s="48">
        <v>45705</v>
      </c>
      <c r="B188" s="27" t="s">
        <v>25</v>
      </c>
      <c r="C188">
        <v>2</v>
      </c>
      <c r="G188" t="s">
        <v>17</v>
      </c>
      <c r="H188">
        <f>VLOOKUP(Tableau68[[#This Row],[Utilisateur prevu]],Tableau3[[Prenoms (ID)]:[CABINET]],2,FALSE)</f>
        <v>0</v>
      </c>
      <c r="I188" t="str">
        <f>VLOOKUP(Tableau68[[#This Row],[Utilisateur prevu]],Tableau3[[Prenoms (ID)]:[CABINET]],3,FALSE)</f>
        <v>MADAFIT</v>
      </c>
      <c r="J188">
        <f>VLOOKUP(Tableau68[[#This Row],[Utilisateur prevu]],Tableau3[[Prenoms (ID)]:[CABINET]],4,FALSE)</f>
        <v>0</v>
      </c>
    </row>
    <row r="189" spans="1:13" hidden="1" x14ac:dyDescent="0.25">
      <c r="A189" s="48">
        <v>45709</v>
      </c>
      <c r="B189" s="27" t="s">
        <v>25</v>
      </c>
      <c r="C189">
        <v>6</v>
      </c>
      <c r="D189" t="s">
        <v>15</v>
      </c>
      <c r="E189" t="s">
        <v>105</v>
      </c>
      <c r="H189" t="e">
        <f>VLOOKUP(Tableau68[[#This Row],[Utilisateur prevu]],Tableau3[[Prenoms (ID)]:[CABINET]],2,FALSE)</f>
        <v>#N/A</v>
      </c>
      <c r="I189" t="e">
        <f>VLOOKUP(Tableau68[[#This Row],[Utilisateur prevu]],Tableau3[[Prenoms (ID)]:[CABINET]],3,FALSE)</f>
        <v>#N/A</v>
      </c>
      <c r="J189" t="e">
        <f>VLOOKUP(Tableau68[[#This Row],[Utilisateur prevu]],Tableau3[[Prenoms (ID)]:[CABINET]],4,FALSE)</f>
        <v>#N/A</v>
      </c>
      <c r="M189" t="s">
        <v>254</v>
      </c>
    </row>
    <row r="190" spans="1:13" hidden="1" x14ac:dyDescent="0.25">
      <c r="A190" s="48">
        <v>45709</v>
      </c>
      <c r="B190" s="27" t="s">
        <v>253</v>
      </c>
      <c r="C190">
        <v>100</v>
      </c>
      <c r="D190" t="s">
        <v>15</v>
      </c>
      <c r="E190" t="s">
        <v>105</v>
      </c>
      <c r="H190" t="e">
        <f>VLOOKUP(Tableau68[[#This Row],[Utilisateur prevu]],Tableau3[[Prenoms (ID)]:[CABINET]],2,FALSE)</f>
        <v>#N/A</v>
      </c>
      <c r="I190" t="e">
        <f>VLOOKUP(Tableau68[[#This Row],[Utilisateur prevu]],Tableau3[[Prenoms (ID)]:[CABINET]],3,FALSE)</f>
        <v>#N/A</v>
      </c>
      <c r="J190" t="e">
        <f>VLOOKUP(Tableau68[[#This Row],[Utilisateur prevu]],Tableau3[[Prenoms (ID)]:[CABINET]],4,FALSE)</f>
        <v>#N/A</v>
      </c>
      <c r="M190" t="s">
        <v>245</v>
      </c>
    </row>
    <row r="191" spans="1:13" hidden="1" x14ac:dyDescent="0.25">
      <c r="A191" s="48">
        <v>45709</v>
      </c>
      <c r="B191" s="27" t="s">
        <v>255</v>
      </c>
      <c r="C191">
        <v>2</v>
      </c>
      <c r="D191" t="s">
        <v>15</v>
      </c>
      <c r="E191" t="s">
        <v>16</v>
      </c>
      <c r="G191" t="s">
        <v>256</v>
      </c>
      <c r="H191">
        <f>VLOOKUP(Tableau68[[#This Row],[Utilisateur prevu]],Tableau3[[Prenoms (ID)]:[CABINET]],2,FALSE)</f>
        <v>0</v>
      </c>
      <c r="I191" t="str">
        <f>VLOOKUP(Tableau68[[#This Row],[Utilisateur prevu]],Tableau3[[Prenoms (ID)]:[CABINET]],3,FALSE)</f>
        <v>Mielohasina</v>
      </c>
      <c r="J191">
        <f>VLOOKUP(Tableau68[[#This Row],[Utilisateur prevu]],Tableau3[[Prenoms (ID)]:[CABINET]],4,FALSE)</f>
        <v>0</v>
      </c>
      <c r="M191" t="s">
        <v>256</v>
      </c>
    </row>
    <row r="192" spans="1:13" ht="14.25" hidden="1" customHeight="1" x14ac:dyDescent="0.25">
      <c r="A192" s="40">
        <v>45711</v>
      </c>
      <c r="B192" s="27" t="s">
        <v>257</v>
      </c>
      <c r="C192">
        <v>1</v>
      </c>
      <c r="D192" t="s">
        <v>49</v>
      </c>
      <c r="G192" t="s">
        <v>258</v>
      </c>
      <c r="H192" s="35" t="str">
        <f>VLOOKUP(Tableau68[[#This Row],[Utilisateur prevu]],Tableau3[[Prenoms (ID)]:[CABINET]],2,FALSE)</f>
        <v>RECCI SAV</v>
      </c>
      <c r="I192" s="35" t="str">
        <f>VLOOKUP(Tableau68[[#This Row],[Utilisateur prevu]],Tableau3[[Prenoms (ID)]:[CABINET]],3,FALSE)</f>
        <v>BNI2</v>
      </c>
      <c r="J192" s="35">
        <f>VLOOKUP(Tableau68[[#This Row],[Utilisateur prevu]],Tableau3[[Prenoms (ID)]:[CABINET]],4,FALSE)</f>
        <v>0</v>
      </c>
      <c r="M192" t="s">
        <v>259</v>
      </c>
    </row>
    <row r="193" spans="1:13" hidden="1" x14ac:dyDescent="0.25">
      <c r="A193" s="46">
        <v>45712</v>
      </c>
      <c r="B193" s="27" t="s">
        <v>241</v>
      </c>
      <c r="C193">
        <v>1</v>
      </c>
      <c r="D193" t="s">
        <v>49</v>
      </c>
      <c r="G193" t="s">
        <v>260</v>
      </c>
      <c r="H193" s="35" t="str">
        <f>VLOOKUP(Tableau68[[#This Row],[Utilisateur prevu]],Tableau3[[Prenoms (ID)]:[CABINET]],2,FALSE)</f>
        <v>Audit CPA</v>
      </c>
      <c r="I193" s="35" t="str">
        <f>VLOOKUP(Tableau68[[#This Row],[Utilisateur prevu]],Tableau3[[Prenoms (ID)]:[CABINET]],3,FALSE)</f>
        <v>AUDIT-CPA</v>
      </c>
      <c r="J193" s="35" t="str">
        <f>VLOOKUP(Tableau68[[#This Row],[Utilisateur prevu]],Tableau3[[Prenoms (ID)]:[CABINET]],4,FALSE)</f>
        <v>CPA</v>
      </c>
      <c r="M193" t="s">
        <v>261</v>
      </c>
    </row>
    <row r="194" spans="1:13" hidden="1" x14ac:dyDescent="0.25">
      <c r="A194" s="2">
        <v>45712</v>
      </c>
      <c r="B194" s="27" t="s">
        <v>91</v>
      </c>
      <c r="C194">
        <v>30</v>
      </c>
      <c r="D194" t="s">
        <v>15</v>
      </c>
      <c r="H194" s="35" t="e">
        <f>VLOOKUP(Tableau68[[#This Row],[Utilisateur prevu]],Tableau3[[Prenoms (ID)]:[CABINET]],2,FALSE)</f>
        <v>#N/A</v>
      </c>
      <c r="I194" s="35" t="e">
        <f>VLOOKUP(Tableau68[[#This Row],[Utilisateur prevu]],Tableau3[[Prenoms (ID)]:[CABINET]],3,FALSE)</f>
        <v>#N/A</v>
      </c>
      <c r="J194" s="35" t="e">
        <f>VLOOKUP(Tableau68[[#This Row],[Utilisateur prevu]],Tableau3[[Prenoms (ID)]:[CABINET]],4,FALSE)</f>
        <v>#N/A</v>
      </c>
      <c r="M194" t="s">
        <v>262</v>
      </c>
    </row>
    <row r="195" spans="1:13" hidden="1" x14ac:dyDescent="0.25">
      <c r="A195" s="2">
        <v>45756</v>
      </c>
      <c r="B195" s="27" t="s">
        <v>52</v>
      </c>
      <c r="C195">
        <v>20</v>
      </c>
      <c r="D195" t="s">
        <v>15</v>
      </c>
      <c r="E195" t="s">
        <v>263</v>
      </c>
      <c r="H195" s="35" t="e">
        <f>VLOOKUP(Tableau68[[#This Row],[Utilisateur prevu]],Tableau3[[Prenoms (ID)]:[CABINET]],2,FALSE)</f>
        <v>#N/A</v>
      </c>
      <c r="I195" s="35" t="e">
        <f>VLOOKUP(Tableau68[[#This Row],[Utilisateur prevu]],Tableau3[[Prenoms (ID)]:[CABINET]],3,FALSE)</f>
        <v>#N/A</v>
      </c>
      <c r="J195" s="35" t="e">
        <f>VLOOKUP(Tableau68[[#This Row],[Utilisateur prevu]],Tableau3[[Prenoms (ID)]:[CABINET]],4,FALSE)</f>
        <v>#N/A</v>
      </c>
    </row>
    <row r="196" spans="1:13" hidden="1" x14ac:dyDescent="0.25">
      <c r="A196" s="2">
        <v>45678</v>
      </c>
      <c r="B196" s="27" t="s">
        <v>264</v>
      </c>
      <c r="C196">
        <v>1</v>
      </c>
      <c r="E196" t="s">
        <v>89</v>
      </c>
      <c r="G196" t="s">
        <v>265</v>
      </c>
      <c r="H196" s="35" t="str">
        <f>VLOOKUP(Tableau68[[#This Row],[Utilisateur prevu]],Tableau3[[Prenoms (ID)]:[CABINET]],2,FALSE)</f>
        <v>Admin</v>
      </c>
      <c r="I196" s="35" t="str">
        <f>VLOOKUP(Tableau68[[#This Row],[Utilisateur prevu]],Tableau3[[Prenoms (ID)]:[CABINET]],3,FALSE)</f>
        <v>BIRA</v>
      </c>
      <c r="J196" s="35" t="str">
        <f>VLOOKUP(Tableau68[[#This Row],[Utilisateur prevu]],Tableau3[[Prenoms (ID)]:[CABINET]],4,FALSE)</f>
        <v>CPA</v>
      </c>
    </row>
    <row r="197" spans="1:13" hidden="1" x14ac:dyDescent="0.25">
      <c r="A197" s="2">
        <v>44683</v>
      </c>
      <c r="B197" s="27" t="s">
        <v>266</v>
      </c>
      <c r="C197">
        <v>1</v>
      </c>
      <c r="E197" t="s">
        <v>89</v>
      </c>
      <c r="G197" t="s">
        <v>265</v>
      </c>
      <c r="H197" s="35" t="str">
        <f>VLOOKUP(Tableau68[[#This Row],[Utilisateur prevu]],Tableau3[[Prenoms (ID)]:[CABINET]],2,FALSE)</f>
        <v>Admin</v>
      </c>
      <c r="I197" s="35" t="str">
        <f>VLOOKUP(Tableau68[[#This Row],[Utilisateur prevu]],Tableau3[[Prenoms (ID)]:[CABINET]],3,FALSE)</f>
        <v>BIRA</v>
      </c>
      <c r="J197" s="35" t="str">
        <f>VLOOKUP(Tableau68[[#This Row],[Utilisateur prevu]],Tableau3[[Prenoms (ID)]:[CABINET]],4,FALSE)</f>
        <v>CPA</v>
      </c>
    </row>
    <row r="198" spans="1:13" hidden="1" x14ac:dyDescent="0.25">
      <c r="A198" s="2">
        <v>44683</v>
      </c>
      <c r="B198" s="27" t="s">
        <v>267</v>
      </c>
      <c r="C198">
        <v>1</v>
      </c>
      <c r="E198" t="s">
        <v>89</v>
      </c>
      <c r="G198" t="s">
        <v>265</v>
      </c>
      <c r="H198" s="35" t="str">
        <f>VLOOKUP(Tableau68[[#This Row],[Utilisateur prevu]],Tableau3[[Prenoms (ID)]:[CABINET]],2,FALSE)</f>
        <v>Admin</v>
      </c>
      <c r="I198" s="35" t="str">
        <f>VLOOKUP(Tableau68[[#This Row],[Utilisateur prevu]],Tableau3[[Prenoms (ID)]:[CABINET]],3,FALSE)</f>
        <v>BIRA</v>
      </c>
      <c r="J198" s="35" t="str">
        <f>VLOOKUP(Tableau68[[#This Row],[Utilisateur prevu]],Tableau3[[Prenoms (ID)]:[CABINET]],4,FALSE)</f>
        <v>CPA</v>
      </c>
    </row>
    <row r="199" spans="1:13" hidden="1" x14ac:dyDescent="0.25">
      <c r="A199" s="2">
        <v>45797</v>
      </c>
      <c r="B199" s="27" t="s">
        <v>268</v>
      </c>
      <c r="C199">
        <v>1</v>
      </c>
      <c r="H199" s="35" t="e">
        <f>VLOOKUP(Tableau68[[#This Row],[Utilisateur prevu]],Tableau3[[Prenoms (ID)]:[CABINET]],2,FALSE)</f>
        <v>#N/A</v>
      </c>
      <c r="I199" s="35" t="e">
        <f>VLOOKUP(Tableau68[[#This Row],[Utilisateur prevu]],Tableau3[[Prenoms (ID)]:[CABINET]],3,FALSE)</f>
        <v>#N/A</v>
      </c>
      <c r="J199" s="35" t="e">
        <f>VLOOKUP(Tableau68[[#This Row],[Utilisateur prevu]],Tableau3[[Prenoms (ID)]:[CABINET]],4,FALSE)</f>
        <v>#N/A</v>
      </c>
    </row>
    <row r="200" spans="1:13" hidden="1" x14ac:dyDescent="0.25">
      <c r="A200" s="2">
        <v>45786</v>
      </c>
      <c r="B200" s="27" t="s">
        <v>24</v>
      </c>
      <c r="C200">
        <v>4</v>
      </c>
      <c r="E200" t="s">
        <v>16</v>
      </c>
      <c r="H200" s="35" t="e">
        <f>VLOOKUP(Tableau68[[#This Row],[Utilisateur prevu]],Tableau3[[Prenoms (ID)]:[CABINET]],2,FALSE)</f>
        <v>#N/A</v>
      </c>
      <c r="I200" s="35" t="e">
        <f>VLOOKUP(Tableau68[[#This Row],[Utilisateur prevu]],Tableau3[[Prenoms (ID)]:[CABINET]],3,FALSE)</f>
        <v>#N/A</v>
      </c>
      <c r="J200" s="35" t="e">
        <f>VLOOKUP(Tableau68[[#This Row],[Utilisateur prevu]],Tableau3[[Prenoms (ID)]:[CABINET]],4,FALSE)</f>
        <v>#N/A</v>
      </c>
      <c r="M200" t="s">
        <v>269</v>
      </c>
    </row>
    <row r="201" spans="1:13" x14ac:dyDescent="0.25">
      <c r="A201" s="2">
        <v>45730</v>
      </c>
      <c r="B201" s="27" t="s">
        <v>34</v>
      </c>
      <c r="C201">
        <v>4</v>
      </c>
      <c r="E201" t="s">
        <v>16</v>
      </c>
      <c r="H201" s="35" t="e">
        <f>VLOOKUP(Tableau68[[#This Row],[Utilisateur prevu]],Tableau3[[Prenoms (ID)]:[CABINET]],2,FALSE)</f>
        <v>#N/A</v>
      </c>
      <c r="I201" s="35" t="e">
        <f>VLOOKUP(Tableau68[[#This Row],[Utilisateur prevu]],Tableau3[[Prenoms (ID)]:[CABINET]],3,FALSE)</f>
        <v>#N/A</v>
      </c>
      <c r="J201" s="35" t="e">
        <f>VLOOKUP(Tableau68[[#This Row],[Utilisateur prevu]],Tableau3[[Prenoms (ID)]:[CABINET]],4,FALSE)</f>
        <v>#N/A</v>
      </c>
      <c r="M201" t="s">
        <v>270</v>
      </c>
    </row>
    <row r="202" spans="1:13" hidden="1" x14ac:dyDescent="0.25">
      <c r="A202" s="2">
        <v>45786</v>
      </c>
      <c r="B202" s="27" t="s">
        <v>271</v>
      </c>
      <c r="C202">
        <v>3</v>
      </c>
      <c r="E202" t="s">
        <v>16</v>
      </c>
      <c r="H202" s="35" t="e">
        <f>VLOOKUP(Tableau68[[#This Row],[Utilisateur prevu]],Tableau3[[Prenoms (ID)]:[CABINET]],2,FALSE)</f>
        <v>#N/A</v>
      </c>
      <c r="I202" s="35" t="e">
        <f>VLOOKUP(Tableau68[[#This Row],[Utilisateur prevu]],Tableau3[[Prenoms (ID)]:[CABINET]],3,FALSE)</f>
        <v>#N/A</v>
      </c>
      <c r="J202" s="35" t="e">
        <f>VLOOKUP(Tableau68[[#This Row],[Utilisateur prevu]],Tableau3[[Prenoms (ID)]:[CABINET]],4,FALSE)</f>
        <v>#N/A</v>
      </c>
      <c r="M202" t="s">
        <v>272</v>
      </c>
    </row>
    <row r="203" spans="1:13" hidden="1" x14ac:dyDescent="0.25">
      <c r="A203" s="2">
        <v>45793</v>
      </c>
      <c r="B203" s="27" t="s">
        <v>22</v>
      </c>
      <c r="C203">
        <v>2</v>
      </c>
      <c r="E203" t="s">
        <v>16</v>
      </c>
      <c r="H203" s="35" t="e">
        <f>VLOOKUP(Tableau68[[#This Row],[Utilisateur prevu]],Tableau3[[Prenoms (ID)]:[CABINET]],2,FALSE)</f>
        <v>#N/A</v>
      </c>
      <c r="I203" s="35" t="e">
        <f>VLOOKUP(Tableau68[[#This Row],[Utilisateur prevu]],Tableau3[[Prenoms (ID)]:[CABINET]],3,FALSE)</f>
        <v>#N/A</v>
      </c>
      <c r="J203" s="35" t="e">
        <f>VLOOKUP(Tableau68[[#This Row],[Utilisateur prevu]],Tableau3[[Prenoms (ID)]:[CABINET]],4,FALSE)</f>
        <v>#N/A</v>
      </c>
      <c r="M203" t="s">
        <v>273</v>
      </c>
    </row>
    <row r="204" spans="1:13" hidden="1" x14ac:dyDescent="0.25">
      <c r="A204" s="2">
        <v>45793</v>
      </c>
      <c r="B204" s="27" t="s">
        <v>274</v>
      </c>
      <c r="C204">
        <v>3</v>
      </c>
      <c r="E204" t="s">
        <v>16</v>
      </c>
      <c r="H204" s="35" t="e">
        <f>VLOOKUP(Tableau68[[#This Row],[Utilisateur prevu]],Tableau3[[Prenoms (ID)]:[CABINET]],2,FALSE)</f>
        <v>#N/A</v>
      </c>
      <c r="I204" s="35" t="e">
        <f>VLOOKUP(Tableau68[[#This Row],[Utilisateur prevu]],Tableau3[[Prenoms (ID)]:[CABINET]],3,FALSE)</f>
        <v>#N/A</v>
      </c>
      <c r="J204" s="35" t="e">
        <f>VLOOKUP(Tableau68[[#This Row],[Utilisateur prevu]],Tableau3[[Prenoms (ID)]:[CABINET]],4,FALSE)</f>
        <v>#N/A</v>
      </c>
      <c r="M204" t="s">
        <v>275</v>
      </c>
    </row>
    <row r="205" spans="1:13" hidden="1" x14ac:dyDescent="0.25">
      <c r="A205" s="2">
        <v>45786</v>
      </c>
      <c r="B205" s="27" t="s">
        <v>58</v>
      </c>
      <c r="C205">
        <v>2</v>
      </c>
      <c r="E205" t="s">
        <v>16</v>
      </c>
      <c r="G205" t="s">
        <v>17</v>
      </c>
      <c r="H205" s="35">
        <f>VLOOKUP(Tableau68[[#This Row],[Utilisateur prevu]],Tableau3[[Prenoms (ID)]:[CABINET]],2,FALSE)</f>
        <v>0</v>
      </c>
      <c r="I205" s="35" t="str">
        <f>VLOOKUP(Tableau68[[#This Row],[Utilisateur prevu]],Tableau3[[Prenoms (ID)]:[CABINET]],3,FALSE)</f>
        <v>MADAFIT</v>
      </c>
      <c r="J205" s="35">
        <f>VLOOKUP(Tableau68[[#This Row],[Utilisateur prevu]],Tableau3[[Prenoms (ID)]:[CABINET]],4,FALSE)</f>
        <v>0</v>
      </c>
    </row>
    <row r="206" spans="1:13" hidden="1" x14ac:dyDescent="0.25">
      <c r="A206" s="2">
        <v>45786</v>
      </c>
      <c r="B206" s="27" t="s">
        <v>84</v>
      </c>
      <c r="C206">
        <v>2</v>
      </c>
      <c r="E206" t="s">
        <v>16</v>
      </c>
      <c r="H206" s="35" t="e">
        <f>VLOOKUP(Tableau68[[#This Row],[Utilisateur prevu]],Tableau3[[Prenoms (ID)]:[CABINET]],2,FALSE)</f>
        <v>#N/A</v>
      </c>
      <c r="I206" s="35" t="e">
        <f>VLOOKUP(Tableau68[[#This Row],[Utilisateur prevu]],Tableau3[[Prenoms (ID)]:[CABINET]],3,FALSE)</f>
        <v>#N/A</v>
      </c>
      <c r="J206" s="35" t="e">
        <f>VLOOKUP(Tableau68[[#This Row],[Utilisateur prevu]],Tableau3[[Prenoms (ID)]:[CABINET]],4,FALSE)</f>
        <v>#N/A</v>
      </c>
      <c r="M206" t="s">
        <v>276</v>
      </c>
    </row>
    <row r="207" spans="1:13" hidden="1" x14ac:dyDescent="0.25">
      <c r="A207" s="2">
        <v>45737</v>
      </c>
      <c r="B207" s="27" t="s">
        <v>52</v>
      </c>
      <c r="C207">
        <v>10</v>
      </c>
      <c r="E207" t="s">
        <v>16</v>
      </c>
      <c r="G207" t="s">
        <v>17</v>
      </c>
      <c r="H207" s="35">
        <f>VLOOKUP(Tableau68[[#This Row],[Utilisateur prevu]],Tableau3[[Prenoms (ID)]:[CABINET]],2,FALSE)</f>
        <v>0</v>
      </c>
      <c r="I207" s="35" t="str">
        <f>VLOOKUP(Tableau68[[#This Row],[Utilisateur prevu]],Tableau3[[Prenoms (ID)]:[CABINET]],3,FALSE)</f>
        <v>MADAFIT</v>
      </c>
      <c r="J207" s="35">
        <f>VLOOKUP(Tableau68[[#This Row],[Utilisateur prevu]],Tableau3[[Prenoms (ID)]:[CABINET]],4,FALSE)</f>
        <v>0</v>
      </c>
    </row>
    <row r="208" spans="1:13" hidden="1" x14ac:dyDescent="0.25">
      <c r="A208" s="2">
        <v>45786</v>
      </c>
      <c r="B208" s="27" t="s">
        <v>60</v>
      </c>
      <c r="C208">
        <v>10</v>
      </c>
      <c r="E208" t="s">
        <v>16</v>
      </c>
      <c r="G208" t="s">
        <v>17</v>
      </c>
      <c r="H208" s="35">
        <f>VLOOKUP(Tableau68[[#This Row],[Utilisateur prevu]],Tableau3[[Prenoms (ID)]:[CABINET]],2,FALSE)</f>
        <v>0</v>
      </c>
      <c r="I208" s="35" t="str">
        <f>VLOOKUP(Tableau68[[#This Row],[Utilisateur prevu]],Tableau3[[Prenoms (ID)]:[CABINET]],3,FALSE)</f>
        <v>MADAFIT</v>
      </c>
      <c r="J208" s="35">
        <f>VLOOKUP(Tableau68[[#This Row],[Utilisateur prevu]],Tableau3[[Prenoms (ID)]:[CABINET]],4,FALSE)</f>
        <v>0</v>
      </c>
    </row>
    <row r="209" spans="1:13" x14ac:dyDescent="0.25">
      <c r="A209" s="2">
        <v>45775</v>
      </c>
      <c r="B209" s="27" t="s">
        <v>34</v>
      </c>
      <c r="C209">
        <v>3</v>
      </c>
      <c r="E209" t="s">
        <v>105</v>
      </c>
      <c r="H209" s="35" t="e">
        <f>VLOOKUP(Tableau68[[#This Row],[Utilisateur prevu]],Tableau3[[Prenoms (ID)]:[CABINET]],2,FALSE)</f>
        <v>#N/A</v>
      </c>
      <c r="I209" s="35" t="e">
        <f>VLOOKUP(Tableau68[[#This Row],[Utilisateur prevu]],Tableau3[[Prenoms (ID)]:[CABINET]],3,FALSE)</f>
        <v>#N/A</v>
      </c>
      <c r="J209" s="35" t="e">
        <f>VLOOKUP(Tableau68[[#This Row],[Utilisateur prevu]],Tableau3[[Prenoms (ID)]:[CABINET]],4,FALSE)</f>
        <v>#N/A</v>
      </c>
      <c r="M209" t="s">
        <v>277</v>
      </c>
    </row>
    <row r="210" spans="1:13" hidden="1" x14ac:dyDescent="0.25">
      <c r="A210" s="2">
        <v>45786</v>
      </c>
      <c r="B210" s="27" t="s">
        <v>60</v>
      </c>
      <c r="C210">
        <v>10</v>
      </c>
      <c r="E210" t="s">
        <v>105</v>
      </c>
      <c r="G210" t="s">
        <v>17</v>
      </c>
      <c r="H210" s="35">
        <f>VLOOKUP(Tableau68[[#This Row],[Utilisateur prevu]],Tableau3[[Prenoms (ID)]:[CABINET]],2,FALSE)</f>
        <v>0</v>
      </c>
      <c r="I210" s="35" t="str">
        <f>VLOOKUP(Tableau68[[#This Row],[Utilisateur prevu]],Tableau3[[Prenoms (ID)]:[CABINET]],3,FALSE)</f>
        <v>MADAFIT</v>
      </c>
      <c r="J210" s="35">
        <f>VLOOKUP(Tableau68[[#This Row],[Utilisateur prevu]],Tableau3[[Prenoms (ID)]:[CABINET]],4,FALSE)</f>
        <v>0</v>
      </c>
    </row>
    <row r="211" spans="1:13" hidden="1" x14ac:dyDescent="0.25">
      <c r="A211" s="2">
        <v>45793</v>
      </c>
      <c r="B211" s="27" t="s">
        <v>274</v>
      </c>
      <c r="C211">
        <v>3</v>
      </c>
      <c r="E211" t="s">
        <v>105</v>
      </c>
      <c r="H211" s="35" t="e">
        <f>VLOOKUP(Tableau68[[#This Row],[Utilisateur prevu]],Tableau3[[Prenoms (ID)]:[CABINET]],2,FALSE)</f>
        <v>#N/A</v>
      </c>
      <c r="I211" s="35" t="e">
        <f>VLOOKUP(Tableau68[[#This Row],[Utilisateur prevu]],Tableau3[[Prenoms (ID)]:[CABINET]],3,FALSE)</f>
        <v>#N/A</v>
      </c>
      <c r="J211" s="35" t="e">
        <f>VLOOKUP(Tableau68[[#This Row],[Utilisateur prevu]],Tableau3[[Prenoms (ID)]:[CABINET]],4,FALSE)</f>
        <v>#N/A</v>
      </c>
      <c r="M211" t="s">
        <v>278</v>
      </c>
    </row>
    <row r="212" spans="1:13" hidden="1" x14ac:dyDescent="0.25">
      <c r="A212" s="2">
        <v>45786</v>
      </c>
      <c r="B212" s="27" t="s">
        <v>58</v>
      </c>
      <c r="C212">
        <v>2</v>
      </c>
      <c r="E212" t="s">
        <v>105</v>
      </c>
      <c r="G212" t="s">
        <v>17</v>
      </c>
      <c r="H212" s="35">
        <f>VLOOKUP(Tableau68[[#This Row],[Utilisateur prevu]],Tableau3[[Prenoms (ID)]:[CABINET]],2,FALSE)</f>
        <v>0</v>
      </c>
      <c r="I212" s="35" t="str">
        <f>VLOOKUP(Tableau68[[#This Row],[Utilisateur prevu]],Tableau3[[Prenoms (ID)]:[CABINET]],3,FALSE)</f>
        <v>MADAFIT</v>
      </c>
      <c r="J212" s="35">
        <f>VLOOKUP(Tableau68[[#This Row],[Utilisateur prevu]],Tableau3[[Prenoms (ID)]:[CABINET]],4,FALSE)</f>
        <v>0</v>
      </c>
    </row>
    <row r="213" spans="1:13" hidden="1" x14ac:dyDescent="0.25">
      <c r="A213" s="2">
        <v>45786</v>
      </c>
      <c r="B213" s="27" t="s">
        <v>24</v>
      </c>
      <c r="C213">
        <v>4</v>
      </c>
      <c r="E213" t="s">
        <v>105</v>
      </c>
      <c r="H213" s="35" t="e">
        <f>VLOOKUP(Tableau68[[#This Row],[Utilisateur prevu]],Tableau3[[Prenoms (ID)]:[CABINET]],2,FALSE)</f>
        <v>#N/A</v>
      </c>
      <c r="I213" s="35" t="e">
        <f>VLOOKUP(Tableau68[[#This Row],[Utilisateur prevu]],Tableau3[[Prenoms (ID)]:[CABINET]],3,FALSE)</f>
        <v>#N/A</v>
      </c>
      <c r="J213" s="35" t="e">
        <f>VLOOKUP(Tableau68[[#This Row],[Utilisateur prevu]],Tableau3[[Prenoms (ID)]:[CABINET]],4,FALSE)</f>
        <v>#N/A</v>
      </c>
      <c r="M213" t="s">
        <v>279</v>
      </c>
    </row>
    <row r="214" spans="1:13" hidden="1" x14ac:dyDescent="0.25">
      <c r="A214" s="2">
        <v>45737</v>
      </c>
      <c r="B214" s="27" t="s">
        <v>52</v>
      </c>
      <c r="C214">
        <v>10</v>
      </c>
      <c r="E214" t="s">
        <v>105</v>
      </c>
      <c r="G214" t="s">
        <v>17</v>
      </c>
      <c r="H214" s="35">
        <f>VLOOKUP(Tableau68[[#This Row],[Utilisateur prevu]],Tableau3[[Prenoms (ID)]:[CABINET]],2,FALSE)</f>
        <v>0</v>
      </c>
      <c r="I214" s="35" t="str">
        <f>VLOOKUP(Tableau68[[#This Row],[Utilisateur prevu]],Tableau3[[Prenoms (ID)]:[CABINET]],3,FALSE)</f>
        <v>MADAFIT</v>
      </c>
      <c r="J214" s="35">
        <f>VLOOKUP(Tableau68[[#This Row],[Utilisateur prevu]],Tableau3[[Prenoms (ID)]:[CABINET]],4,FALSE)</f>
        <v>0</v>
      </c>
    </row>
  </sheetData>
  <dataConsolidate/>
  <mergeCells count="1">
    <mergeCell ref="A1:M1"/>
  </mergeCells>
  <conditionalFormatting sqref="C2:C1048576">
    <cfRule type="cellIs" dxfId="39" priority="1" operator="lessThan">
      <formula>0</formula>
    </cfRule>
  </conditionalFormatting>
  <dataValidations count="2">
    <dataValidation type="list" allowBlank="1" showInputMessage="1" showErrorMessage="1" sqref="B3:B214">
      <formula1>articles</formula1>
    </dataValidation>
    <dataValidation type="list" allowBlank="1" showInputMessage="1" showErrorMessage="1" sqref="K3:K214 G3:G214">
      <formula1>utilisateurs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1"/>
  <sheetViews>
    <sheetView workbookViewId="0">
      <pane xSplit="1" ySplit="2" topLeftCell="B3" activePane="bottomRight" state="frozen"/>
      <selection pane="topRight" activeCell="C6" sqref="C6"/>
      <selection pane="bottomLeft" activeCell="C6" sqref="C6"/>
      <selection pane="bottomRight" activeCell="K20" sqref="K20"/>
    </sheetView>
  </sheetViews>
  <sheetFormatPr baseColWidth="10" defaultColWidth="11.42578125" defaultRowHeight="15" x14ac:dyDescent="0.25"/>
  <cols>
    <col min="2" max="2" width="37.42578125" style="27" customWidth="1"/>
    <col min="3" max="3" width="9.5703125" bestFit="1" customWidth="1"/>
    <col min="4" max="4" width="8" customWidth="1"/>
    <col min="5" max="5" width="14.42578125" bestFit="1" customWidth="1"/>
    <col min="6" max="6" width="12.85546875" hidden="1" customWidth="1"/>
    <col min="7" max="7" width="19.140625" bestFit="1" customWidth="1"/>
    <col min="8" max="8" width="16.85546875" customWidth="1"/>
    <col min="9" max="10" width="13.28515625" customWidth="1"/>
    <col min="11" max="12" width="15" customWidth="1"/>
    <col min="13" max="13" width="35.42578125" bestFit="1" customWidth="1"/>
    <col min="14" max="14" width="52.28515625" bestFit="1" customWidth="1"/>
  </cols>
  <sheetData>
    <row r="1" spans="1:13" s="4" customFormat="1" ht="23.25" x14ac:dyDescent="0.3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35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280</v>
      </c>
      <c r="F2" s="1" t="s">
        <v>6</v>
      </c>
      <c r="G2" s="1" t="s">
        <v>281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>
        <v>45334</v>
      </c>
      <c r="B3" s="27" t="s">
        <v>52</v>
      </c>
      <c r="C3">
        <v>8</v>
      </c>
      <c r="D3" t="s">
        <v>49</v>
      </c>
      <c r="E3" t="s">
        <v>282</v>
      </c>
      <c r="G3" t="s">
        <v>27</v>
      </c>
      <c r="H3">
        <f>VLOOKUP(Tableau6[[#This Row],[Utilisateur]],Tableau3[[Prenoms (ID)]:[CABINET]],2,FALSE)</f>
        <v>0</v>
      </c>
      <c r="I3" t="str">
        <f>VLOOKUP(Tableau6[[#This Row],[Utilisateur]],Tableau3[[Prenoms (ID)]:[CABINET]],3,FALSE)</f>
        <v>BIRA</v>
      </c>
      <c r="J3" t="str">
        <f>VLOOKUP(Tableau6[[#This Row],[Utilisateur]],Tableau3[[Prenoms (ID)]:[CABINET]],4,FALSE)</f>
        <v>CPA</v>
      </c>
      <c r="K3" t="s">
        <v>283</v>
      </c>
      <c r="M3" t="s">
        <v>284</v>
      </c>
    </row>
    <row r="4" spans="1:13" x14ac:dyDescent="0.25">
      <c r="A4" s="2">
        <v>45334</v>
      </c>
      <c r="B4" s="27" t="s">
        <v>25</v>
      </c>
      <c r="C4">
        <v>1</v>
      </c>
      <c r="D4" t="s">
        <v>49</v>
      </c>
      <c r="G4" t="s">
        <v>27</v>
      </c>
      <c r="H4">
        <f>VLOOKUP(Tableau6[[#This Row],[Utilisateur]],Tableau3[[Prenoms (ID)]:[CABINET]],2,FALSE)</f>
        <v>0</v>
      </c>
      <c r="I4" t="str">
        <f>VLOOKUP(Tableau6[[#This Row],[Utilisateur]],Tableau3[[Prenoms (ID)]:[CABINET]],3,FALSE)</f>
        <v>BIRA</v>
      </c>
      <c r="J4" t="str">
        <f>VLOOKUP(Tableau6[[#This Row],[Utilisateur]],Tableau3[[Prenoms (ID)]:[CABINET]],4,FALSE)</f>
        <v>CPA</v>
      </c>
      <c r="K4" t="s">
        <v>283</v>
      </c>
    </row>
    <row r="5" spans="1:13" x14ac:dyDescent="0.25">
      <c r="A5" s="2">
        <v>45334</v>
      </c>
      <c r="B5" s="27" t="s">
        <v>73</v>
      </c>
      <c r="C5">
        <v>1</v>
      </c>
      <c r="D5" t="s">
        <v>49</v>
      </c>
      <c r="G5" t="s">
        <v>27</v>
      </c>
      <c r="H5">
        <f>VLOOKUP(Tableau6[[#This Row],[Utilisateur]],Tableau3[[Prenoms (ID)]:[CABINET]],2,FALSE)</f>
        <v>0</v>
      </c>
      <c r="I5" t="str">
        <f>VLOOKUP(Tableau6[[#This Row],[Utilisateur]],Tableau3[[Prenoms (ID)]:[CABINET]],3,FALSE)</f>
        <v>BIRA</v>
      </c>
      <c r="J5" t="str">
        <f>VLOOKUP(Tableau6[[#This Row],[Utilisateur]],Tableau3[[Prenoms (ID)]:[CABINET]],4,FALSE)</f>
        <v>CPA</v>
      </c>
      <c r="K5" t="s">
        <v>283</v>
      </c>
    </row>
    <row r="6" spans="1:13" x14ac:dyDescent="0.25">
      <c r="A6" s="2">
        <v>45392</v>
      </c>
      <c r="B6" s="27" t="s">
        <v>52</v>
      </c>
      <c r="C6">
        <v>20</v>
      </c>
      <c r="D6" t="s">
        <v>49</v>
      </c>
      <c r="G6" t="s">
        <v>71</v>
      </c>
      <c r="H6">
        <f>VLOOKUP(Tableau6[[#This Row],[Utilisateur]],Tableau3[[Prenoms (ID)]:[CABINET]],2,FALSE)</f>
        <v>0</v>
      </c>
      <c r="I6" t="str">
        <f>VLOOKUP(Tableau6[[#This Row],[Utilisateur]],Tableau3[[Prenoms (ID)]:[CABINET]],3,FALSE)</f>
        <v>MADAFIT</v>
      </c>
      <c r="J6" t="str">
        <f>VLOOKUP(Tableau6[[#This Row],[Utilisateur]],Tableau3[[Prenoms (ID)]:[CABINET]],4,FALSE)</f>
        <v>CPA</v>
      </c>
      <c r="M6" t="s">
        <v>285</v>
      </c>
    </row>
    <row r="7" spans="1:13" x14ac:dyDescent="0.25">
      <c r="A7" s="2">
        <v>45392</v>
      </c>
      <c r="B7" s="27" t="s">
        <v>52</v>
      </c>
      <c r="C7">
        <v>20</v>
      </c>
      <c r="D7" t="s">
        <v>49</v>
      </c>
      <c r="G7" t="s">
        <v>286</v>
      </c>
      <c r="H7">
        <f>VLOOKUP(Tableau6[[#This Row],[Utilisateur]],Tableau3[[Prenoms (ID)]:[CABINET]],2,FALSE)</f>
        <v>0</v>
      </c>
      <c r="I7" t="str">
        <f>VLOOKUP(Tableau6[[#This Row],[Utilisateur]],Tableau3[[Prenoms (ID)]:[CABINET]],3,FALSE)</f>
        <v>MADAFIT</v>
      </c>
      <c r="J7" t="str">
        <f>VLOOKUP(Tableau6[[#This Row],[Utilisateur]],Tableau3[[Prenoms (ID)]:[CABINET]],4,FALSE)</f>
        <v>RFC</v>
      </c>
    </row>
    <row r="8" spans="1:13" x14ac:dyDescent="0.25">
      <c r="A8" s="2">
        <v>45392</v>
      </c>
      <c r="B8" s="27" t="s">
        <v>287</v>
      </c>
      <c r="C8">
        <v>20</v>
      </c>
      <c r="D8" t="s">
        <v>49</v>
      </c>
      <c r="G8" t="s">
        <v>286</v>
      </c>
      <c r="H8">
        <f>VLOOKUP(Tableau6[[#This Row],[Utilisateur]],Tableau3[[Prenoms (ID)]:[CABINET]],2,FALSE)</f>
        <v>0</v>
      </c>
      <c r="I8" t="str">
        <f>VLOOKUP(Tableau6[[#This Row],[Utilisateur]],Tableau3[[Prenoms (ID)]:[CABINET]],3,FALSE)</f>
        <v>MADAFIT</v>
      </c>
      <c r="J8" t="str">
        <f>VLOOKUP(Tableau6[[#This Row],[Utilisateur]],Tableau3[[Prenoms (ID)]:[CABINET]],4,FALSE)</f>
        <v>RFC</v>
      </c>
    </row>
    <row r="9" spans="1:13" x14ac:dyDescent="0.25">
      <c r="A9" s="2">
        <v>45392</v>
      </c>
      <c r="B9" s="27" t="s">
        <v>287</v>
      </c>
      <c r="C9">
        <v>20</v>
      </c>
      <c r="D9" t="s">
        <v>49</v>
      </c>
      <c r="G9" t="s">
        <v>71</v>
      </c>
      <c r="H9">
        <f>VLOOKUP(Tableau6[[#This Row],[Utilisateur]],Tableau3[[Prenoms (ID)]:[CABINET]],2,FALSE)</f>
        <v>0</v>
      </c>
      <c r="I9" t="str">
        <f>VLOOKUP(Tableau6[[#This Row],[Utilisateur]],Tableau3[[Prenoms (ID)]:[CABINET]],3,FALSE)</f>
        <v>MADAFIT</v>
      </c>
      <c r="J9" t="str">
        <f>VLOOKUP(Tableau6[[#This Row],[Utilisateur]],Tableau3[[Prenoms (ID)]:[CABINET]],4,FALSE)</f>
        <v>CPA</v>
      </c>
    </row>
    <row r="10" spans="1:13" x14ac:dyDescent="0.25">
      <c r="A10" s="2">
        <v>45401</v>
      </c>
      <c r="B10" s="27" t="s">
        <v>139</v>
      </c>
      <c r="C10">
        <v>20</v>
      </c>
      <c r="D10" t="s">
        <v>49</v>
      </c>
      <c r="G10" t="s">
        <v>71</v>
      </c>
      <c r="H10">
        <f>VLOOKUP(Tableau6[[#This Row],[Utilisateur]],Tableau3[[Prenoms (ID)]:[CABINET]],2,FALSE)</f>
        <v>0</v>
      </c>
      <c r="I10" t="str">
        <f>VLOOKUP(Tableau6[[#This Row],[Utilisateur]],Tableau3[[Prenoms (ID)]:[CABINET]],3,FALSE)</f>
        <v>MADAFIT</v>
      </c>
      <c r="J10" t="str">
        <f>VLOOKUP(Tableau6[[#This Row],[Utilisateur]],Tableau3[[Prenoms (ID)]:[CABINET]],4,FALSE)</f>
        <v>CPA</v>
      </c>
    </row>
    <row r="11" spans="1:13" x14ac:dyDescent="0.25">
      <c r="A11" s="2">
        <v>45414</v>
      </c>
      <c r="B11" s="27" t="s">
        <v>52</v>
      </c>
      <c r="C11">
        <v>5</v>
      </c>
      <c r="D11" t="s">
        <v>49</v>
      </c>
      <c r="G11" t="s">
        <v>62</v>
      </c>
      <c r="H11">
        <f>VLOOKUP(Tableau6[[#This Row],[Utilisateur]],Tableau3[[Prenoms (ID)]:[CABINET]],2,FALSE)</f>
        <v>0</v>
      </c>
      <c r="I11" t="str">
        <f>VLOOKUP(Tableau6[[#This Row],[Utilisateur]],Tableau3[[Prenoms (ID)]:[CABINET]],3,FALSE)</f>
        <v>BNI</v>
      </c>
      <c r="J11" t="str">
        <f>VLOOKUP(Tableau6[[#This Row],[Utilisateur]],Tableau3[[Prenoms (ID)]:[CABINET]],4,FALSE)</f>
        <v>CPA</v>
      </c>
      <c r="L11" t="s">
        <v>288</v>
      </c>
      <c r="M11" t="s">
        <v>289</v>
      </c>
    </row>
    <row r="12" spans="1:13" x14ac:dyDescent="0.25">
      <c r="A12" s="2">
        <v>45414</v>
      </c>
      <c r="B12" s="27" t="s">
        <v>139</v>
      </c>
      <c r="C12">
        <v>5</v>
      </c>
      <c r="D12" t="s">
        <v>49</v>
      </c>
      <c r="G12" t="s">
        <v>62</v>
      </c>
      <c r="H12">
        <f>VLOOKUP(Tableau6[[#This Row],[Utilisateur]],Tableau3[[Prenoms (ID)]:[CABINET]],2,FALSE)</f>
        <v>0</v>
      </c>
      <c r="I12" t="str">
        <f>VLOOKUP(Tableau6[[#This Row],[Utilisateur]],Tableau3[[Prenoms (ID)]:[CABINET]],3,FALSE)</f>
        <v>BNI</v>
      </c>
      <c r="J12" t="str">
        <f>VLOOKUP(Tableau6[[#This Row],[Utilisateur]],Tableau3[[Prenoms (ID)]:[CABINET]],4,FALSE)</f>
        <v>CPA</v>
      </c>
      <c r="L12" t="s">
        <v>288</v>
      </c>
      <c r="M12" t="s">
        <v>289</v>
      </c>
    </row>
    <row r="13" spans="1:13" x14ac:dyDescent="0.25">
      <c r="A13" s="2">
        <v>45419</v>
      </c>
      <c r="B13" s="27" t="s">
        <v>52</v>
      </c>
      <c r="C13">
        <v>6</v>
      </c>
      <c r="D13" t="s">
        <v>49</v>
      </c>
      <c r="E13" t="s">
        <v>290</v>
      </c>
      <c r="G13" t="s">
        <v>27</v>
      </c>
      <c r="H13">
        <f>VLOOKUP(Tableau6[[#This Row],[Utilisateur]],Tableau3[[Prenoms (ID)]:[CABINET]],2,FALSE)</f>
        <v>0</v>
      </c>
      <c r="I13" t="str">
        <f>VLOOKUP(Tableau6[[#This Row],[Utilisateur]],Tableau3[[Prenoms (ID)]:[CABINET]],3,FALSE)</f>
        <v>BIRA</v>
      </c>
      <c r="J13" t="str">
        <f>VLOOKUP(Tableau6[[#This Row],[Utilisateur]],Tableau3[[Prenoms (ID)]:[CABINET]],4,FALSE)</f>
        <v>CPA</v>
      </c>
      <c r="L13" t="s">
        <v>288</v>
      </c>
      <c r="M13" t="s">
        <v>289</v>
      </c>
    </row>
    <row r="14" spans="1:13" x14ac:dyDescent="0.25">
      <c r="A14" s="2">
        <v>45419</v>
      </c>
      <c r="B14" s="27" t="s">
        <v>24</v>
      </c>
      <c r="C14">
        <v>2</v>
      </c>
      <c r="D14" t="s">
        <v>49</v>
      </c>
      <c r="G14" t="s">
        <v>27</v>
      </c>
      <c r="H14">
        <f>VLOOKUP(Tableau6[[#This Row],[Utilisateur]],Tableau3[[Prenoms (ID)]:[CABINET]],2,FALSE)</f>
        <v>0</v>
      </c>
      <c r="I14" t="str">
        <f>VLOOKUP(Tableau6[[#This Row],[Utilisateur]],Tableau3[[Prenoms (ID)]:[CABINET]],3,FALSE)</f>
        <v>BIRA</v>
      </c>
      <c r="J14" t="str">
        <f>VLOOKUP(Tableau6[[#This Row],[Utilisateur]],Tableau3[[Prenoms (ID)]:[CABINET]],4,FALSE)</f>
        <v>CPA</v>
      </c>
      <c r="L14" t="s">
        <v>288</v>
      </c>
      <c r="M14" t="s">
        <v>289</v>
      </c>
    </row>
    <row r="15" spans="1:13" x14ac:dyDescent="0.25">
      <c r="A15" s="2">
        <v>45419</v>
      </c>
      <c r="B15" s="27" t="s">
        <v>58</v>
      </c>
      <c r="C15">
        <v>1</v>
      </c>
      <c r="D15" t="s">
        <v>49</v>
      </c>
      <c r="G15" t="s">
        <v>27</v>
      </c>
      <c r="H15">
        <f>VLOOKUP(Tableau6[[#This Row],[Utilisateur]],Tableau3[[Prenoms (ID)]:[CABINET]],2,FALSE)</f>
        <v>0</v>
      </c>
      <c r="I15" t="str">
        <f>VLOOKUP(Tableau6[[#This Row],[Utilisateur]],Tableau3[[Prenoms (ID)]:[CABINET]],3,FALSE)</f>
        <v>BIRA</v>
      </c>
      <c r="J15" t="str">
        <f>VLOOKUP(Tableau6[[#This Row],[Utilisateur]],Tableau3[[Prenoms (ID)]:[CABINET]],4,FALSE)</f>
        <v>CPA</v>
      </c>
      <c r="L15" t="s">
        <v>288</v>
      </c>
      <c r="M15" t="s">
        <v>289</v>
      </c>
    </row>
    <row r="16" spans="1:13" x14ac:dyDescent="0.25">
      <c r="A16" s="2">
        <v>45419</v>
      </c>
      <c r="B16" s="27" t="s">
        <v>24</v>
      </c>
      <c r="C16">
        <v>4</v>
      </c>
      <c r="D16" t="s">
        <v>49</v>
      </c>
      <c r="G16" t="s">
        <v>71</v>
      </c>
      <c r="H16">
        <f>VLOOKUP(Tableau6[[#This Row],[Utilisateur]],Tableau3[[Prenoms (ID)]:[CABINET]],2,FALSE)</f>
        <v>0</v>
      </c>
      <c r="I16" t="str">
        <f>VLOOKUP(Tableau6[[#This Row],[Utilisateur]],Tableau3[[Prenoms (ID)]:[CABINET]],3,FALSE)</f>
        <v>MADAFIT</v>
      </c>
      <c r="J16" t="str">
        <f>VLOOKUP(Tableau6[[#This Row],[Utilisateur]],Tableau3[[Prenoms (ID)]:[CABINET]],4,FALSE)</f>
        <v>CPA</v>
      </c>
    </row>
    <row r="17" spans="1:13" x14ac:dyDescent="0.25">
      <c r="A17" s="2">
        <v>45420</v>
      </c>
      <c r="B17" s="27" t="s">
        <v>58</v>
      </c>
      <c r="C17">
        <v>1</v>
      </c>
      <c r="D17" t="s">
        <v>49</v>
      </c>
      <c r="G17" t="s">
        <v>71</v>
      </c>
      <c r="H17">
        <f>VLOOKUP(Tableau6[[#This Row],[Utilisateur]],Tableau3[[Prenoms (ID)]:[CABINET]],2,FALSE)</f>
        <v>0</v>
      </c>
      <c r="I17" t="str">
        <f>VLOOKUP(Tableau6[[#This Row],[Utilisateur]],Tableau3[[Prenoms (ID)]:[CABINET]],3,FALSE)</f>
        <v>MADAFIT</v>
      </c>
      <c r="J17" t="str">
        <f>VLOOKUP(Tableau6[[#This Row],[Utilisateur]],Tableau3[[Prenoms (ID)]:[CABINET]],4,FALSE)</f>
        <v>CPA</v>
      </c>
    </row>
    <row r="18" spans="1:13" x14ac:dyDescent="0.25">
      <c r="A18" s="2">
        <v>45435</v>
      </c>
      <c r="B18" s="27" t="s">
        <v>287</v>
      </c>
      <c r="C18">
        <v>10</v>
      </c>
      <c r="D18" t="s">
        <v>49</v>
      </c>
      <c r="G18" t="s">
        <v>27</v>
      </c>
      <c r="H18">
        <f>VLOOKUP(Tableau6[[#This Row],[Utilisateur]],Tableau3[[Prenoms (ID)]:[CABINET]],2,FALSE)</f>
        <v>0</v>
      </c>
      <c r="I18" t="str">
        <f>VLOOKUP(Tableau6[[#This Row],[Utilisateur]],Tableau3[[Prenoms (ID)]:[CABINET]],3,FALSE)</f>
        <v>BIRA</v>
      </c>
      <c r="J18" t="str">
        <f>VLOOKUP(Tableau6[[#This Row],[Utilisateur]],Tableau3[[Prenoms (ID)]:[CABINET]],4,FALSE)</f>
        <v>CPA</v>
      </c>
      <c r="L18" t="s">
        <v>288</v>
      </c>
      <c r="M18" t="s">
        <v>289</v>
      </c>
    </row>
    <row r="19" spans="1:13" x14ac:dyDescent="0.25">
      <c r="A19" s="2">
        <v>45435</v>
      </c>
      <c r="B19" s="27" t="s">
        <v>25</v>
      </c>
      <c r="C19">
        <v>1</v>
      </c>
      <c r="D19" t="s">
        <v>49</v>
      </c>
      <c r="G19" t="s">
        <v>27</v>
      </c>
      <c r="H19">
        <f>VLOOKUP(Tableau6[[#This Row],[Utilisateur]],Tableau3[[Prenoms (ID)]:[CABINET]],2,FALSE)</f>
        <v>0</v>
      </c>
      <c r="I19" t="str">
        <f>VLOOKUP(Tableau6[[#This Row],[Utilisateur]],Tableau3[[Prenoms (ID)]:[CABINET]],3,FALSE)</f>
        <v>BIRA</v>
      </c>
      <c r="J19" t="str">
        <f>VLOOKUP(Tableau6[[#This Row],[Utilisateur]],Tableau3[[Prenoms (ID)]:[CABINET]],4,FALSE)</f>
        <v>CPA</v>
      </c>
      <c r="L19" t="s">
        <v>288</v>
      </c>
      <c r="M19" t="s">
        <v>289</v>
      </c>
    </row>
    <row r="20" spans="1:13" ht="45" x14ac:dyDescent="0.25">
      <c r="A20" s="2">
        <v>45443</v>
      </c>
      <c r="B20" s="27" t="s">
        <v>291</v>
      </c>
      <c r="C20">
        <v>1</v>
      </c>
      <c r="D20" t="s">
        <v>49</v>
      </c>
      <c r="E20" t="s">
        <v>292</v>
      </c>
      <c r="G20" t="s">
        <v>286</v>
      </c>
      <c r="H20">
        <f>VLOOKUP(Tableau6[[#This Row],[Utilisateur]],Tableau3[[Prenoms (ID)]:[CABINET]],2,FALSE)</f>
        <v>0</v>
      </c>
      <c r="I20" t="str">
        <f>VLOOKUP(Tableau6[[#This Row],[Utilisateur]],Tableau3[[Prenoms (ID)]:[CABINET]],3,FALSE)</f>
        <v>MADAFIT</v>
      </c>
      <c r="J20" t="str">
        <f>VLOOKUP(Tableau6[[#This Row],[Utilisateur]],Tableau3[[Prenoms (ID)]:[CABINET]],4,FALSE)</f>
        <v>RFC</v>
      </c>
    </row>
    <row r="21" spans="1:13" ht="45" x14ac:dyDescent="0.25">
      <c r="A21" s="2">
        <v>45443</v>
      </c>
      <c r="B21" s="27" t="s">
        <v>293</v>
      </c>
      <c r="C21">
        <v>1</v>
      </c>
      <c r="D21" t="s">
        <v>49</v>
      </c>
      <c r="E21" t="s">
        <v>294</v>
      </c>
      <c r="G21" t="s">
        <v>286</v>
      </c>
      <c r="H21">
        <f>VLOOKUP(Tableau6[[#This Row],[Utilisateur]],Tableau3[[Prenoms (ID)]:[CABINET]],2,FALSE)</f>
        <v>0</v>
      </c>
      <c r="I21" t="str">
        <f>VLOOKUP(Tableau6[[#This Row],[Utilisateur]],Tableau3[[Prenoms (ID)]:[CABINET]],3,FALSE)</f>
        <v>MADAFIT</v>
      </c>
      <c r="J21" t="str">
        <f>VLOOKUP(Tableau6[[#This Row],[Utilisateur]],Tableau3[[Prenoms (ID)]:[CABINET]],4,FALSE)</f>
        <v>RFC</v>
      </c>
    </row>
    <row r="22" spans="1:13" x14ac:dyDescent="0.25">
      <c r="A22" s="2">
        <v>45449</v>
      </c>
      <c r="B22" s="27" t="s">
        <v>24</v>
      </c>
      <c r="C22">
        <v>2</v>
      </c>
      <c r="D22" t="s">
        <v>49</v>
      </c>
      <c r="G22" t="s">
        <v>27</v>
      </c>
      <c r="H22">
        <f>VLOOKUP(Tableau6[[#This Row],[Utilisateur]],Tableau3[[Prenoms (ID)]:[CABINET]],2,FALSE)</f>
        <v>0</v>
      </c>
      <c r="I22" t="str">
        <f>VLOOKUP(Tableau6[[#This Row],[Utilisateur]],Tableau3[[Prenoms (ID)]:[CABINET]],3,FALSE)</f>
        <v>BIRA</v>
      </c>
      <c r="J22" t="str">
        <f>VLOOKUP(Tableau6[[#This Row],[Utilisateur]],Tableau3[[Prenoms (ID)]:[CABINET]],4,FALSE)</f>
        <v>CPA</v>
      </c>
    </row>
    <row r="23" spans="1:13" x14ac:dyDescent="0.25">
      <c r="A23" s="2">
        <v>45449</v>
      </c>
      <c r="B23" s="27" t="s">
        <v>58</v>
      </c>
      <c r="C23">
        <v>2</v>
      </c>
      <c r="D23" t="s">
        <v>49</v>
      </c>
      <c r="G23" t="s">
        <v>27</v>
      </c>
      <c r="H23">
        <f>VLOOKUP(Tableau6[[#This Row],[Utilisateur]],Tableau3[[Prenoms (ID)]:[CABINET]],2,FALSE)</f>
        <v>0</v>
      </c>
      <c r="I23" t="str">
        <f>VLOOKUP(Tableau6[[#This Row],[Utilisateur]],Tableau3[[Prenoms (ID)]:[CABINET]],3,FALSE)</f>
        <v>BIRA</v>
      </c>
      <c r="J23" t="str">
        <f>VLOOKUP(Tableau6[[#This Row],[Utilisateur]],Tableau3[[Prenoms (ID)]:[CABINET]],4,FALSE)</f>
        <v>CPA</v>
      </c>
    </row>
    <row r="24" spans="1:13" x14ac:dyDescent="0.25">
      <c r="A24" s="2">
        <v>45449</v>
      </c>
      <c r="B24" s="27" t="s">
        <v>91</v>
      </c>
      <c r="C24">
        <v>2</v>
      </c>
      <c r="D24" t="s">
        <v>49</v>
      </c>
      <c r="G24" t="s">
        <v>27</v>
      </c>
      <c r="H24">
        <f>VLOOKUP(Tableau6[[#This Row],[Utilisateur]],Tableau3[[Prenoms (ID)]:[CABINET]],2,FALSE)</f>
        <v>0</v>
      </c>
      <c r="I24" t="str">
        <f>VLOOKUP(Tableau6[[#This Row],[Utilisateur]],Tableau3[[Prenoms (ID)]:[CABINET]],3,FALSE)</f>
        <v>BIRA</v>
      </c>
      <c r="J24" t="str">
        <f>VLOOKUP(Tableau6[[#This Row],[Utilisateur]],Tableau3[[Prenoms (ID)]:[CABINET]],4,FALSE)</f>
        <v>CPA</v>
      </c>
    </row>
    <row r="25" spans="1:13" x14ac:dyDescent="0.25">
      <c r="A25" s="2">
        <v>45449</v>
      </c>
      <c r="B25" s="27" t="s">
        <v>25</v>
      </c>
      <c r="C25">
        <v>2</v>
      </c>
      <c r="D25" t="s">
        <v>49</v>
      </c>
      <c r="G25" t="s">
        <v>27</v>
      </c>
      <c r="H25">
        <f>VLOOKUP(Tableau6[[#This Row],[Utilisateur]],Tableau3[[Prenoms (ID)]:[CABINET]],2,FALSE)</f>
        <v>0</v>
      </c>
      <c r="I25" t="str">
        <f>VLOOKUP(Tableau6[[#This Row],[Utilisateur]],Tableau3[[Prenoms (ID)]:[CABINET]],3,FALSE)</f>
        <v>BIRA</v>
      </c>
      <c r="J25" t="str">
        <f>VLOOKUP(Tableau6[[#This Row],[Utilisateur]],Tableau3[[Prenoms (ID)]:[CABINET]],4,FALSE)</f>
        <v>CPA</v>
      </c>
    </row>
    <row r="26" spans="1:13" x14ac:dyDescent="0.25">
      <c r="A26" s="2">
        <v>45455</v>
      </c>
      <c r="B26" s="27" t="s">
        <v>52</v>
      </c>
      <c r="C26">
        <v>20</v>
      </c>
      <c r="D26" t="s">
        <v>49</v>
      </c>
      <c r="G26" t="s">
        <v>286</v>
      </c>
      <c r="H26">
        <f>VLOOKUP(Tableau6[[#This Row],[Utilisateur]],Tableau3[[Prenoms (ID)]:[CABINET]],2,FALSE)</f>
        <v>0</v>
      </c>
      <c r="I26" t="str">
        <f>VLOOKUP(Tableau6[[#This Row],[Utilisateur]],Tableau3[[Prenoms (ID)]:[CABINET]],3,FALSE)</f>
        <v>MADAFIT</v>
      </c>
      <c r="J26" t="str">
        <f>VLOOKUP(Tableau6[[#This Row],[Utilisateur]],Tableau3[[Prenoms (ID)]:[CABINET]],4,FALSE)</f>
        <v>RFC</v>
      </c>
    </row>
    <row r="27" spans="1:13" x14ac:dyDescent="0.25">
      <c r="A27" s="2">
        <v>45455</v>
      </c>
      <c r="B27" s="27" t="s">
        <v>52</v>
      </c>
      <c r="C27">
        <v>20</v>
      </c>
      <c r="D27" t="s">
        <v>49</v>
      </c>
      <c r="G27" t="s">
        <v>71</v>
      </c>
      <c r="H27">
        <f>VLOOKUP(Tableau6[[#This Row],[Utilisateur]],Tableau3[[Prenoms (ID)]:[CABINET]],2,FALSE)</f>
        <v>0</v>
      </c>
      <c r="I27" t="str">
        <f>VLOOKUP(Tableau6[[#This Row],[Utilisateur]],Tableau3[[Prenoms (ID)]:[CABINET]],3,FALSE)</f>
        <v>MADAFIT</v>
      </c>
      <c r="J27" t="str">
        <f>VLOOKUP(Tableau6[[#This Row],[Utilisateur]],Tableau3[[Prenoms (ID)]:[CABINET]],4,FALSE)</f>
        <v>CPA</v>
      </c>
    </row>
    <row r="28" spans="1:13" x14ac:dyDescent="0.25">
      <c r="A28" s="2">
        <v>45504</v>
      </c>
      <c r="B28" s="27" t="s">
        <v>295</v>
      </c>
      <c r="C28">
        <v>1</v>
      </c>
      <c r="D28" t="s">
        <v>49</v>
      </c>
      <c r="G28" t="s">
        <v>27</v>
      </c>
      <c r="H28">
        <f>VLOOKUP(Tableau6[[#This Row],[Utilisateur]],Tableau3[[Prenoms (ID)]:[CABINET]],2,FALSE)</f>
        <v>0</v>
      </c>
      <c r="I28" t="str">
        <f>VLOOKUP(Tableau6[[#This Row],[Utilisateur]],Tableau3[[Prenoms (ID)]:[CABINET]],3,FALSE)</f>
        <v>BIRA</v>
      </c>
      <c r="J28" t="str">
        <f>VLOOKUP(Tableau6[[#This Row],[Utilisateur]],Tableau3[[Prenoms (ID)]:[CABINET]],4,FALSE)</f>
        <v>CPA</v>
      </c>
    </row>
    <row r="29" spans="1:13" ht="30" x14ac:dyDescent="0.25">
      <c r="A29" s="2">
        <v>45576</v>
      </c>
      <c r="B29" s="27" t="s">
        <v>296</v>
      </c>
      <c r="C29">
        <v>1</v>
      </c>
      <c r="D29" t="s">
        <v>49</v>
      </c>
      <c r="G29" t="s">
        <v>27</v>
      </c>
      <c r="H29">
        <f>VLOOKUP(Tableau6[[#This Row],[Utilisateur]],Tableau3[[Prenoms (ID)]:[CABINET]],2,FALSE)</f>
        <v>0</v>
      </c>
      <c r="I29" t="str">
        <f>VLOOKUP(Tableau6[[#This Row],[Utilisateur]],Tableau3[[Prenoms (ID)]:[CABINET]],3,FALSE)</f>
        <v>BIRA</v>
      </c>
      <c r="J29" t="str">
        <f>VLOOKUP(Tableau6[[#This Row],[Utilisateur]],Tableau3[[Prenoms (ID)]:[CABINET]],4,FALSE)</f>
        <v>CPA</v>
      </c>
    </row>
    <row r="30" spans="1:13" x14ac:dyDescent="0.25">
      <c r="A30" s="2">
        <v>45576</v>
      </c>
      <c r="B30" s="27" t="s">
        <v>297</v>
      </c>
      <c r="C30">
        <v>1</v>
      </c>
      <c r="D30" t="s">
        <v>49</v>
      </c>
      <c r="G30" t="s">
        <v>27</v>
      </c>
      <c r="H30">
        <f>VLOOKUP(Tableau6[[#This Row],[Utilisateur]],Tableau3[[Prenoms (ID)]:[CABINET]],2,FALSE)</f>
        <v>0</v>
      </c>
      <c r="I30" t="str">
        <f>VLOOKUP(Tableau6[[#This Row],[Utilisateur]],Tableau3[[Prenoms (ID)]:[CABINET]],3,FALSE)</f>
        <v>BIRA</v>
      </c>
      <c r="J30" t="str">
        <f>VLOOKUP(Tableau6[[#This Row],[Utilisateur]],Tableau3[[Prenoms (ID)]:[CABINET]],4,FALSE)</f>
        <v>CPA</v>
      </c>
    </row>
    <row r="31" spans="1:13" x14ac:dyDescent="0.25">
      <c r="A31" s="2">
        <v>45576</v>
      </c>
      <c r="B31" s="27" t="s">
        <v>297</v>
      </c>
      <c r="C31">
        <v>1</v>
      </c>
      <c r="D31" t="s">
        <v>49</v>
      </c>
      <c r="G31" t="s">
        <v>27</v>
      </c>
      <c r="H31">
        <f>VLOOKUP(Tableau6[[#This Row],[Utilisateur]],Tableau3[[Prenoms (ID)]:[CABINET]],2,FALSE)</f>
        <v>0</v>
      </c>
      <c r="I31" t="str">
        <f>VLOOKUP(Tableau6[[#This Row],[Utilisateur]],Tableau3[[Prenoms (ID)]:[CABINET]],3,FALSE)</f>
        <v>BIRA</v>
      </c>
      <c r="J31" t="str">
        <f>VLOOKUP(Tableau6[[#This Row],[Utilisateur]],Tableau3[[Prenoms (ID)]:[CABINET]],4,FALSE)</f>
        <v>CPA</v>
      </c>
    </row>
    <row r="32" spans="1:13" x14ac:dyDescent="0.25">
      <c r="A32" s="2">
        <v>45576</v>
      </c>
      <c r="B32" s="27" t="s">
        <v>298</v>
      </c>
      <c r="C32">
        <v>1</v>
      </c>
      <c r="D32" t="s">
        <v>49</v>
      </c>
      <c r="G32" t="s">
        <v>27</v>
      </c>
      <c r="H32">
        <f>VLOOKUP(Tableau6[[#This Row],[Utilisateur]],Tableau3[[Prenoms (ID)]:[CABINET]],2,FALSE)</f>
        <v>0</v>
      </c>
      <c r="I32" t="str">
        <f>VLOOKUP(Tableau6[[#This Row],[Utilisateur]],Tableau3[[Prenoms (ID)]:[CABINET]],3,FALSE)</f>
        <v>BIRA</v>
      </c>
      <c r="J32" t="str">
        <f>VLOOKUP(Tableau6[[#This Row],[Utilisateur]],Tableau3[[Prenoms (ID)]:[CABINET]],4,FALSE)</f>
        <v>CPA</v>
      </c>
    </row>
    <row r="33" spans="1:13" x14ac:dyDescent="0.25">
      <c r="A33" s="2">
        <v>45576</v>
      </c>
      <c r="B33" s="27" t="s">
        <v>299</v>
      </c>
      <c r="C33">
        <v>1</v>
      </c>
      <c r="D33" t="s">
        <v>49</v>
      </c>
      <c r="G33" t="s">
        <v>27</v>
      </c>
      <c r="H33">
        <f>VLOOKUP(Tableau6[[#This Row],[Utilisateur]],Tableau3[[Prenoms (ID)]:[CABINET]],2,FALSE)</f>
        <v>0</v>
      </c>
      <c r="I33" t="str">
        <f>VLOOKUP(Tableau6[[#This Row],[Utilisateur]],Tableau3[[Prenoms (ID)]:[CABINET]],3,FALSE)</f>
        <v>BIRA</v>
      </c>
      <c r="J33" t="str">
        <f>VLOOKUP(Tableau6[[#This Row],[Utilisateur]],Tableau3[[Prenoms (ID)]:[CABINET]],4,FALSE)</f>
        <v>CPA</v>
      </c>
    </row>
    <row r="34" spans="1:13" x14ac:dyDescent="0.25">
      <c r="A34" s="2">
        <v>45576</v>
      </c>
      <c r="B34" s="27" t="s">
        <v>300</v>
      </c>
      <c r="C34">
        <v>2</v>
      </c>
      <c r="D34" t="s">
        <v>49</v>
      </c>
      <c r="G34" t="s">
        <v>27</v>
      </c>
      <c r="H34">
        <f>VLOOKUP(Tableau6[[#This Row],[Utilisateur]],Tableau3[[Prenoms (ID)]:[CABINET]],2,FALSE)</f>
        <v>0</v>
      </c>
      <c r="I34" t="str">
        <f>VLOOKUP(Tableau6[[#This Row],[Utilisateur]],Tableau3[[Prenoms (ID)]:[CABINET]],3,FALSE)</f>
        <v>BIRA</v>
      </c>
      <c r="J34" t="str">
        <f>VLOOKUP(Tableau6[[#This Row],[Utilisateur]],Tableau3[[Prenoms (ID)]:[CABINET]],4,FALSE)</f>
        <v>CPA</v>
      </c>
    </row>
    <row r="35" spans="1:13" x14ac:dyDescent="0.25">
      <c r="A35" s="2">
        <v>45674</v>
      </c>
      <c r="B35" s="27" t="s">
        <v>52</v>
      </c>
      <c r="C35">
        <v>24</v>
      </c>
      <c r="D35" t="s">
        <v>49</v>
      </c>
      <c r="G35" t="s">
        <v>301</v>
      </c>
      <c r="H35">
        <f>VLOOKUP(Tableau6[[#This Row],[Utilisateur]],Tableau3[[Prenoms (ID)]:[CABINET]],2,FALSE)</f>
        <v>0</v>
      </c>
      <c r="I35" t="str">
        <f>VLOOKUP(Tableau6[[#This Row],[Utilisateur]],Tableau3[[Prenoms (ID)]:[CABINET]],3,FALSE)</f>
        <v>MADAFIT</v>
      </c>
      <c r="J35" t="str">
        <f>VLOOKUP(Tableau6[[#This Row],[Utilisateur]],Tableau3[[Prenoms (ID)]:[CABINET]],4,FALSE)</f>
        <v>CPA</v>
      </c>
      <c r="M35" t="s">
        <v>302</v>
      </c>
    </row>
    <row r="36" spans="1:13" x14ac:dyDescent="0.25">
      <c r="A36" s="2">
        <v>45674</v>
      </c>
      <c r="B36" s="27" t="s">
        <v>287</v>
      </c>
      <c r="C36">
        <v>16</v>
      </c>
      <c r="G36" t="s">
        <v>301</v>
      </c>
      <c r="H36">
        <f>VLOOKUP(Tableau6[[#This Row],[Utilisateur]],Tableau3[[Prenoms (ID)]:[CABINET]],2,FALSE)</f>
        <v>0</v>
      </c>
      <c r="I36" t="str">
        <f>VLOOKUP(Tableau6[[#This Row],[Utilisateur]],Tableau3[[Prenoms (ID)]:[CABINET]],3,FALSE)</f>
        <v>MADAFIT</v>
      </c>
      <c r="J36" t="str">
        <f>VLOOKUP(Tableau6[[#This Row],[Utilisateur]],Tableau3[[Prenoms (ID)]:[CABINET]],4,FALSE)</f>
        <v>CPA</v>
      </c>
      <c r="M36" t="s">
        <v>302</v>
      </c>
    </row>
    <row r="37" spans="1:13" x14ac:dyDescent="0.25">
      <c r="A37" s="2">
        <v>45674</v>
      </c>
      <c r="B37" s="27" t="s">
        <v>64</v>
      </c>
      <c r="C37">
        <v>2</v>
      </c>
      <c r="G37" t="s">
        <v>301</v>
      </c>
      <c r="H37">
        <f>VLOOKUP(Tableau6[[#This Row],[Utilisateur]],Tableau3[[Prenoms (ID)]:[CABINET]],2,FALSE)</f>
        <v>0</v>
      </c>
      <c r="I37" t="str">
        <f>VLOOKUP(Tableau6[[#This Row],[Utilisateur]],Tableau3[[Prenoms (ID)]:[CABINET]],3,FALSE)</f>
        <v>MADAFIT</v>
      </c>
      <c r="J37" t="str">
        <f>VLOOKUP(Tableau6[[#This Row],[Utilisateur]],Tableau3[[Prenoms (ID)]:[CABINET]],4,FALSE)</f>
        <v>CPA</v>
      </c>
      <c r="M37" t="s">
        <v>302</v>
      </c>
    </row>
    <row r="38" spans="1:13" x14ac:dyDescent="0.25">
      <c r="A38" s="2">
        <v>45674</v>
      </c>
      <c r="B38" s="27" t="s">
        <v>139</v>
      </c>
      <c r="C38">
        <v>15</v>
      </c>
      <c r="G38" t="s">
        <v>301</v>
      </c>
      <c r="H38">
        <f>VLOOKUP(Tableau6[[#This Row],[Utilisateur]],Tableau3[[Prenoms (ID)]:[CABINET]],2,FALSE)</f>
        <v>0</v>
      </c>
      <c r="I38" t="str">
        <f>VLOOKUP(Tableau6[[#This Row],[Utilisateur]],Tableau3[[Prenoms (ID)]:[CABINET]],3,FALSE)</f>
        <v>MADAFIT</v>
      </c>
      <c r="J38" t="str">
        <f>VLOOKUP(Tableau6[[#This Row],[Utilisateur]],Tableau3[[Prenoms (ID)]:[CABINET]],4,FALSE)</f>
        <v>CPA</v>
      </c>
      <c r="M38" t="s">
        <v>302</v>
      </c>
    </row>
    <row r="39" spans="1:13" x14ac:dyDescent="0.25">
      <c r="A39" s="2">
        <v>45674</v>
      </c>
      <c r="B39" s="27" t="s">
        <v>60</v>
      </c>
      <c r="C39">
        <v>2</v>
      </c>
      <c r="G39" t="s">
        <v>301</v>
      </c>
      <c r="H39">
        <f>VLOOKUP(Tableau6[[#This Row],[Utilisateur]],Tableau3[[Prenoms (ID)]:[CABINET]],2,FALSE)</f>
        <v>0</v>
      </c>
      <c r="I39" t="str">
        <f>VLOOKUP(Tableau6[[#This Row],[Utilisateur]],Tableau3[[Prenoms (ID)]:[CABINET]],3,FALSE)</f>
        <v>MADAFIT</v>
      </c>
      <c r="J39" t="str">
        <f>VLOOKUP(Tableau6[[#This Row],[Utilisateur]],Tableau3[[Prenoms (ID)]:[CABINET]],4,FALSE)</f>
        <v>CPA</v>
      </c>
      <c r="M39" t="s">
        <v>302</v>
      </c>
    </row>
    <row r="40" spans="1:13" x14ac:dyDescent="0.25">
      <c r="A40" s="2">
        <v>45674</v>
      </c>
      <c r="B40" s="27" t="s">
        <v>58</v>
      </c>
      <c r="C40">
        <v>4</v>
      </c>
      <c r="G40" t="s">
        <v>301</v>
      </c>
      <c r="H40">
        <f>VLOOKUP(Tableau6[[#This Row],[Utilisateur]],Tableau3[[Prenoms (ID)]:[CABINET]],2,FALSE)</f>
        <v>0</v>
      </c>
      <c r="I40" t="str">
        <f>VLOOKUP(Tableau6[[#This Row],[Utilisateur]],Tableau3[[Prenoms (ID)]:[CABINET]],3,FALSE)</f>
        <v>MADAFIT</v>
      </c>
      <c r="J40" t="str">
        <f>VLOOKUP(Tableau6[[#This Row],[Utilisateur]],Tableau3[[Prenoms (ID)]:[CABINET]],4,FALSE)</f>
        <v>CPA</v>
      </c>
      <c r="M40" t="s">
        <v>302</v>
      </c>
    </row>
    <row r="41" spans="1:13" x14ac:dyDescent="0.25">
      <c r="A41" s="2">
        <v>45674</v>
      </c>
      <c r="B41" s="27" t="s">
        <v>84</v>
      </c>
      <c r="C41">
        <v>2</v>
      </c>
      <c r="G41" t="s">
        <v>301</v>
      </c>
      <c r="H41">
        <f>VLOOKUP(Tableau6[[#This Row],[Utilisateur]],Tableau3[[Prenoms (ID)]:[CABINET]],2,FALSE)</f>
        <v>0</v>
      </c>
      <c r="I41" t="str">
        <f>VLOOKUP(Tableau6[[#This Row],[Utilisateur]],Tableau3[[Prenoms (ID)]:[CABINET]],3,FALSE)</f>
        <v>MADAFIT</v>
      </c>
      <c r="J41" t="str">
        <f>VLOOKUP(Tableau6[[#This Row],[Utilisateur]],Tableau3[[Prenoms (ID)]:[CABINET]],4,FALSE)</f>
        <v>CPA</v>
      </c>
      <c r="M41" t="s">
        <v>302</v>
      </c>
    </row>
  </sheetData>
  <dataConsolidate/>
  <mergeCells count="1">
    <mergeCell ref="A1:M1"/>
  </mergeCells>
  <conditionalFormatting sqref="C2:C1048576">
    <cfRule type="cellIs" dxfId="33" priority="1" operator="lessThan">
      <formula>0</formula>
    </cfRule>
  </conditionalFormatting>
  <dataValidations count="2">
    <dataValidation type="list" allowBlank="1" showInputMessage="1" showErrorMessage="1" sqref="K3:K41 G3:G41">
      <formula1>utilisateurs</formula1>
    </dataValidation>
    <dataValidation type="list" allowBlank="1" showInputMessage="1" showErrorMessage="1" sqref="B3:B41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73"/>
  <sheetViews>
    <sheetView zoomScale="110" zoomScaleNormal="110" workbookViewId="0">
      <pane xSplit="1" ySplit="2" topLeftCell="B959" activePane="bottomRight" state="frozen"/>
      <selection pane="topRight" activeCell="C6" sqref="C6"/>
      <selection pane="bottomLeft" activeCell="C6" sqref="C6"/>
      <selection pane="bottomRight" activeCell="H977" sqref="H977"/>
    </sheetView>
  </sheetViews>
  <sheetFormatPr baseColWidth="10" defaultColWidth="11.42578125" defaultRowHeight="15" x14ac:dyDescent="0.25"/>
  <cols>
    <col min="1" max="1" width="21.5703125" customWidth="1"/>
    <col min="2" max="2" width="64" customWidth="1"/>
    <col min="3" max="3" width="5.7109375" customWidth="1"/>
    <col min="4" max="4" width="8" customWidth="1"/>
    <col min="5" max="5" width="22.42578125" customWidth="1"/>
    <col min="6" max="6" width="1.140625" hidden="1" customWidth="1"/>
    <col min="7" max="7" width="24.42578125" customWidth="1"/>
    <col min="8" max="8" width="16.85546875" customWidth="1"/>
    <col min="9" max="9" width="17.7109375" bestFit="1" customWidth="1"/>
    <col min="10" max="10" width="17.7109375" customWidth="1"/>
    <col min="11" max="11" width="15" customWidth="1"/>
    <col min="12" max="12" width="10.85546875" customWidth="1"/>
    <col min="13" max="13" width="77.85546875" bestFit="1" customWidth="1"/>
    <col min="14" max="14" width="52.28515625" bestFit="1" customWidth="1"/>
  </cols>
  <sheetData>
    <row r="1" spans="1:13" s="5" customFormat="1" ht="23.25" x14ac:dyDescent="0.35">
      <c r="A1" s="70" t="s">
        <v>303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s="1" customFormat="1" ht="35.450000000000003" customHeight="1" x14ac:dyDescent="0.25">
      <c r="A2" s="1" t="s">
        <v>304</v>
      </c>
      <c r="B2" s="1" t="s">
        <v>2</v>
      </c>
      <c r="C2" s="1" t="s">
        <v>3</v>
      </c>
      <c r="D2" s="1" t="s">
        <v>4</v>
      </c>
      <c r="E2" s="1" t="s">
        <v>305</v>
      </c>
      <c r="F2" s="1" t="s">
        <v>6</v>
      </c>
      <c r="G2" s="1" t="s">
        <v>281</v>
      </c>
      <c r="H2" s="1" t="s">
        <v>8</v>
      </c>
      <c r="I2" s="1" t="s">
        <v>306</v>
      </c>
      <c r="J2" s="1" t="s">
        <v>10</v>
      </c>
      <c r="K2" s="1" t="s">
        <v>11</v>
      </c>
      <c r="L2" s="1" t="s">
        <v>307</v>
      </c>
      <c r="M2" s="1" t="s">
        <v>13</v>
      </c>
    </row>
    <row r="3" spans="1:13" x14ac:dyDescent="0.25">
      <c r="A3" s="2">
        <v>45294</v>
      </c>
      <c r="B3" t="s">
        <v>54</v>
      </c>
      <c r="C3" s="6">
        <v>1</v>
      </c>
      <c r="D3" t="s">
        <v>49</v>
      </c>
      <c r="G3" t="s">
        <v>308</v>
      </c>
      <c r="H3" t="str">
        <f>VLOOKUP(Tableau65[[#This Row],[Utilisateur]],Tableau3[[Prenoms (ID)]:[Localisation]],2,FALSE)</f>
        <v>ADV</v>
      </c>
      <c r="I3" t="str">
        <f>VLOOKUP(Tableau65[[#This Row],[Utilisateur]],Tableau3[[Prenoms (ID)]:[Localisation]],3,FALSE)</f>
        <v>BIRA</v>
      </c>
      <c r="J3" t="str">
        <f>VLOOKUP(Tableau65[[#This Row],[Utilisateur]],Tableau3[[Prenoms (ID)]:[CABINET]],4,FALSE)</f>
        <v>CPA</v>
      </c>
      <c r="K3" t="s">
        <v>283</v>
      </c>
      <c r="M3" t="s">
        <v>309</v>
      </c>
    </row>
    <row r="4" spans="1:13" x14ac:dyDescent="0.25">
      <c r="A4" s="2">
        <v>45294</v>
      </c>
      <c r="B4" t="s">
        <v>139</v>
      </c>
      <c r="C4" s="6">
        <v>1</v>
      </c>
      <c r="D4" t="s">
        <v>49</v>
      </c>
      <c r="G4" t="s">
        <v>308</v>
      </c>
      <c r="H4" t="str">
        <f>VLOOKUP(Tableau65[[#This Row],[Utilisateur]],Tableau3[[Prenoms (ID)]:[Localisation]],2,FALSE)</f>
        <v>ADV</v>
      </c>
      <c r="I4" t="str">
        <f>VLOOKUP(Tableau65[[#This Row],[Utilisateur]],Tableau3[[Prenoms (ID)]:[Localisation]],3,FALSE)</f>
        <v>BIRA</v>
      </c>
      <c r="J4" t="str">
        <f>VLOOKUP(Tableau65[[#This Row],[Utilisateur]],Tableau3[[Prenoms (ID)]:[CABINET]],4,FALSE)</f>
        <v>CPA</v>
      </c>
      <c r="K4" t="s">
        <v>283</v>
      </c>
      <c r="M4" t="s">
        <v>309</v>
      </c>
    </row>
    <row r="5" spans="1:13" x14ac:dyDescent="0.25">
      <c r="A5" s="2">
        <v>45294</v>
      </c>
      <c r="B5" t="s">
        <v>52</v>
      </c>
      <c r="C5" s="57">
        <v>1</v>
      </c>
      <c r="D5" t="s">
        <v>49</v>
      </c>
      <c r="G5" t="s">
        <v>308</v>
      </c>
      <c r="H5" t="str">
        <f>VLOOKUP(Tableau65[[#This Row],[Utilisateur]],Tableau3[[Prenoms (ID)]:[Localisation]],2,FALSE)</f>
        <v>ADV</v>
      </c>
      <c r="I5" t="str">
        <f>VLOOKUP(Tableau65[[#This Row],[Utilisateur]],Tableau3[[Prenoms (ID)]:[Localisation]],3,FALSE)</f>
        <v>BIRA</v>
      </c>
      <c r="J5" t="str">
        <f>VLOOKUP(Tableau65[[#This Row],[Utilisateur]],Tableau3[[Prenoms (ID)]:[CABINET]],4,FALSE)</f>
        <v>CPA</v>
      </c>
      <c r="K5" t="s">
        <v>283</v>
      </c>
      <c r="M5" t="s">
        <v>309</v>
      </c>
    </row>
    <row r="6" spans="1:13" x14ac:dyDescent="0.25">
      <c r="A6" s="2">
        <v>45295</v>
      </c>
      <c r="B6" t="s">
        <v>24</v>
      </c>
      <c r="C6" s="6">
        <v>1</v>
      </c>
      <c r="D6" t="s">
        <v>49</v>
      </c>
      <c r="E6" t="s">
        <v>310</v>
      </c>
      <c r="G6" t="s">
        <v>311</v>
      </c>
      <c r="H6" s="35" t="str">
        <f>VLOOKUP(Tableau65[[#This Row],[Utilisateur]],Tableau3[[Prenoms (ID)]:[Localisation]],2,FALSE)</f>
        <v>-</v>
      </c>
      <c r="I6" s="35" t="str">
        <f>VLOOKUP(Tableau65[[#This Row],[Utilisateur]],Tableau3[[Prenoms (ID)]:[Localisation]],3,FALSE)</f>
        <v>-</v>
      </c>
      <c r="J6" s="35">
        <f>VLOOKUP(Tableau65[[#This Row],[Utilisateur]],Tableau3[[Prenoms (ID)]:[CABINET]],4,FALSE)</f>
        <v>0</v>
      </c>
    </row>
    <row r="7" spans="1:13" x14ac:dyDescent="0.25">
      <c r="A7" s="2">
        <v>45300</v>
      </c>
      <c r="B7" t="s">
        <v>52</v>
      </c>
      <c r="C7" s="57">
        <v>1</v>
      </c>
      <c r="D7" t="s">
        <v>49</v>
      </c>
      <c r="G7" t="s">
        <v>312</v>
      </c>
      <c r="H7" t="str">
        <f>VLOOKUP(Tableau65[[#This Row],[Utilisateur]],Tableau3[[Prenoms (ID)]:[Localisation]],2,FALSE)</f>
        <v>-</v>
      </c>
      <c r="I7" t="str">
        <f>VLOOKUP(Tableau65[[#This Row],[Utilisateur]],Tableau3[[Prenoms (ID)]:[Localisation]],3,FALSE)</f>
        <v>BIRA</v>
      </c>
      <c r="J7" t="str">
        <f>VLOOKUP(Tableau65[[#This Row],[Utilisateur]],Tableau3[[Prenoms (ID)]:[CABINET]],4,FALSE)</f>
        <v>CPA</v>
      </c>
      <c r="K7" t="s">
        <v>283</v>
      </c>
      <c r="M7" t="s">
        <v>313</v>
      </c>
    </row>
    <row r="8" spans="1:13" x14ac:dyDescent="0.25">
      <c r="A8" s="2">
        <v>45301</v>
      </c>
      <c r="B8" t="s">
        <v>18</v>
      </c>
      <c r="C8" s="6">
        <v>300</v>
      </c>
      <c r="D8" t="s">
        <v>129</v>
      </c>
      <c r="G8" t="s">
        <v>17</v>
      </c>
      <c r="H8">
        <f>VLOOKUP(Tableau65[[#This Row],[Utilisateur]],Tableau3[[Prenoms (ID)]:[Localisation]],2,FALSE)</f>
        <v>0</v>
      </c>
      <c r="I8" t="str">
        <f>VLOOKUP(Tableau65[[#This Row],[Utilisateur]],Tableau3[[Prenoms (ID)]:[Localisation]],3,FALSE)</f>
        <v>MADAFIT</v>
      </c>
      <c r="J8">
        <f>VLOOKUP(Tableau65[[#This Row],[Utilisateur]],Tableau3[[Prenoms (ID)]:[CABINET]],4,FALSE)</f>
        <v>0</v>
      </c>
    </row>
    <row r="9" spans="1:13" x14ac:dyDescent="0.25">
      <c r="A9" s="2">
        <v>45303</v>
      </c>
      <c r="B9" t="s">
        <v>64</v>
      </c>
      <c r="C9" s="6">
        <v>1</v>
      </c>
      <c r="D9" t="s">
        <v>49</v>
      </c>
      <c r="G9" t="s">
        <v>314</v>
      </c>
      <c r="H9" s="35" t="str">
        <f>VLOOKUP(Tableau65[[#This Row],[Utilisateur]],Tableau3[[Prenoms (ID)]:[Localisation]],2,FALSE)</f>
        <v>Juridique</v>
      </c>
      <c r="I9" s="35" t="str">
        <f>VLOOKUP(Tableau65[[#This Row],[Utilisateur]],Tableau3[[Prenoms (ID)]:[Localisation]],3,FALSE)</f>
        <v>BNI2</v>
      </c>
      <c r="J9" s="35">
        <f>VLOOKUP(Tableau65[[#This Row],[Utilisateur]],Tableau3[[Prenoms (ID)]:[CABINET]],4,FALSE)</f>
        <v>0</v>
      </c>
    </row>
    <row r="10" spans="1:13" x14ac:dyDescent="0.25">
      <c r="A10" s="2">
        <v>45307</v>
      </c>
      <c r="B10" t="s">
        <v>25</v>
      </c>
      <c r="C10" s="6">
        <v>1</v>
      </c>
      <c r="D10" t="s">
        <v>49</v>
      </c>
      <c r="G10" t="s">
        <v>315</v>
      </c>
      <c r="H10" s="35" t="str">
        <f>VLOOKUP(Tableau65[[#This Row],[Utilisateur]],Tableau3[[Prenoms (ID)]:[Localisation]],2,FALSE)</f>
        <v>COMPTASTAR</v>
      </c>
      <c r="I10" s="35" t="str">
        <f>VLOOKUP(Tableau65[[#This Row],[Utilisateur]],Tableau3[[Prenoms (ID)]:[Localisation]],3,FALSE)</f>
        <v>TSIADANA</v>
      </c>
      <c r="J10" s="35" t="str">
        <f>VLOOKUP(Tableau65[[#This Row],[Utilisateur]],Tableau3[[Prenoms (ID)]:[CABINET]],4,FALSE)</f>
        <v>CPA</v>
      </c>
    </row>
    <row r="11" spans="1:13" x14ac:dyDescent="0.25">
      <c r="A11" s="2">
        <v>45307</v>
      </c>
      <c r="B11" t="s">
        <v>25</v>
      </c>
      <c r="C11" s="6">
        <v>1</v>
      </c>
      <c r="D11" t="s">
        <v>49</v>
      </c>
      <c r="G11" t="s">
        <v>316</v>
      </c>
      <c r="H11" s="35" t="str">
        <f>VLOOKUP(Tableau65[[#This Row],[Utilisateur]],Tableau3[[Prenoms (ID)]:[Localisation]],2,FALSE)</f>
        <v>Audit CPA</v>
      </c>
      <c r="I11" s="35" t="str">
        <f>VLOOKUP(Tableau65[[#This Row],[Utilisateur]],Tableau3[[Prenoms (ID)]:[Localisation]],3,FALSE)</f>
        <v>AUDIT-CPA</v>
      </c>
      <c r="J11" s="35" t="str">
        <f>VLOOKUP(Tableau65[[#This Row],[Utilisateur]],Tableau3[[Prenoms (ID)]:[CABINET]],4,FALSE)</f>
        <v>CPA</v>
      </c>
    </row>
    <row r="12" spans="1:13" x14ac:dyDescent="0.25">
      <c r="A12" s="2">
        <v>45307</v>
      </c>
      <c r="B12" t="s">
        <v>24</v>
      </c>
      <c r="C12" s="6">
        <v>1</v>
      </c>
      <c r="D12" t="s">
        <v>49</v>
      </c>
      <c r="G12" t="s">
        <v>317</v>
      </c>
      <c r="H12" s="35" t="str">
        <f>VLOOKUP(Tableau65[[#This Row],[Utilisateur]],Tableau3[[Prenoms (ID)]:[Localisation]],2,FALSE)</f>
        <v>Informatique</v>
      </c>
      <c r="I12" s="35">
        <f>VLOOKUP(Tableau65[[#This Row],[Utilisateur]],Tableau3[[Prenoms (ID)]:[Localisation]],3,FALSE)</f>
        <v>0</v>
      </c>
      <c r="J12" s="35">
        <f>VLOOKUP(Tableau65[[#This Row],[Utilisateur]],Tableau3[[Prenoms (ID)]:[CABINET]],4,FALSE)</f>
        <v>0</v>
      </c>
    </row>
    <row r="13" spans="1:13" x14ac:dyDescent="0.25">
      <c r="A13" s="2">
        <v>45307</v>
      </c>
      <c r="B13" t="s">
        <v>24</v>
      </c>
      <c r="C13" s="6">
        <v>1</v>
      </c>
      <c r="D13" t="s">
        <v>49</v>
      </c>
      <c r="G13" t="s">
        <v>318</v>
      </c>
      <c r="H13" s="35" t="str">
        <f>VLOOKUP(Tableau65[[#This Row],[Utilisateur]],Tableau3[[Prenoms (ID)]:[Localisation]],2,FALSE)</f>
        <v>Xperia</v>
      </c>
      <c r="I13" s="35" t="str">
        <f>VLOOKUP(Tableau65[[#This Row],[Utilisateur]],Tableau3[[Prenoms (ID)]:[Localisation]],3,FALSE)</f>
        <v>SOCIAL</v>
      </c>
      <c r="J13" s="35">
        <f>VLOOKUP(Tableau65[[#This Row],[Utilisateur]],Tableau3[[Prenoms (ID)]:[CABINET]],4,FALSE)</f>
        <v>0</v>
      </c>
    </row>
    <row r="14" spans="1:13" x14ac:dyDescent="0.25">
      <c r="A14" s="2">
        <v>45307</v>
      </c>
      <c r="B14" t="s">
        <v>52</v>
      </c>
      <c r="C14" s="57">
        <v>1</v>
      </c>
      <c r="D14" t="s">
        <v>49</v>
      </c>
      <c r="G14" t="s">
        <v>319</v>
      </c>
      <c r="H14" s="35" t="str">
        <f>VLOOKUP(Tableau65[[#This Row],[Utilisateur]],Tableau3[[Prenoms (ID)]:[Localisation]],2,FALSE)</f>
        <v>Xperia</v>
      </c>
      <c r="I14" s="35" t="str">
        <f>VLOOKUP(Tableau65[[#This Row],[Utilisateur]],Tableau3[[Prenoms (ID)]:[Localisation]],3,FALSE)</f>
        <v>SOCIAL</v>
      </c>
      <c r="J14" s="35">
        <f>VLOOKUP(Tableau65[[#This Row],[Utilisateur]],Tableau3[[Prenoms (ID)]:[CABINET]],4,FALSE)</f>
        <v>0</v>
      </c>
    </row>
    <row r="15" spans="1:13" x14ac:dyDescent="0.25">
      <c r="A15" s="2">
        <v>45307</v>
      </c>
      <c r="B15" t="s">
        <v>52</v>
      </c>
      <c r="C15" s="57">
        <v>1</v>
      </c>
      <c r="D15" t="s">
        <v>49</v>
      </c>
      <c r="G15" t="s">
        <v>320</v>
      </c>
      <c r="H15" s="35" t="str">
        <f>VLOOKUP(Tableau65[[#This Row],[Utilisateur]],Tableau3[[Prenoms (ID)]:[Localisation]],2,FALSE)</f>
        <v>RECCI</v>
      </c>
      <c r="I15" s="35" t="str">
        <f>VLOOKUP(Tableau65[[#This Row],[Utilisateur]],Tableau3[[Prenoms (ID)]:[Localisation]],3,FALSE)</f>
        <v>LMNP</v>
      </c>
      <c r="J15" s="35">
        <f>VLOOKUP(Tableau65[[#This Row],[Utilisateur]],Tableau3[[Prenoms (ID)]:[CABINET]],4,FALSE)</f>
        <v>0</v>
      </c>
    </row>
    <row r="16" spans="1:13" x14ac:dyDescent="0.25">
      <c r="A16" s="2">
        <v>45308</v>
      </c>
      <c r="B16" t="s">
        <v>28</v>
      </c>
      <c r="C16" s="6">
        <v>6</v>
      </c>
      <c r="D16" t="s">
        <v>15</v>
      </c>
      <c r="E16" t="s">
        <v>321</v>
      </c>
      <c r="H16" t="e">
        <f>VLOOKUP(Tableau65[[#This Row],[Utilisateur]],Tableau3[[Prenoms (ID)]:[Localisation]],2,FALSE)</f>
        <v>#N/A</v>
      </c>
      <c r="I16" t="e">
        <f>VLOOKUP(Tableau65[[#This Row],[Utilisateur]],Tableau3[[Prenoms (ID)]:[Localisation]],3,FALSE)</f>
        <v>#N/A</v>
      </c>
      <c r="J16" t="e">
        <f>VLOOKUP(Tableau65[[#This Row],[Utilisateur]],Tableau3[[Prenoms (ID)]:[CABINET]],4,FALSE)</f>
        <v>#N/A</v>
      </c>
    </row>
    <row r="17" spans="1:13" x14ac:dyDescent="0.25">
      <c r="A17" s="2">
        <v>45308</v>
      </c>
      <c r="B17" t="s">
        <v>28</v>
      </c>
      <c r="C17" s="6">
        <v>1</v>
      </c>
      <c r="D17" t="s">
        <v>49</v>
      </c>
      <c r="E17" t="s">
        <v>322</v>
      </c>
      <c r="H17" t="e">
        <f>VLOOKUP(Tableau65[[#This Row],[Utilisateur]],Tableau3[[Prenoms (ID)]:[Localisation]],2,FALSE)</f>
        <v>#N/A</v>
      </c>
      <c r="I17" t="e">
        <f>VLOOKUP(Tableau65[[#This Row],[Utilisateur]],Tableau3[[Prenoms (ID)]:[Localisation]],3,FALSE)</f>
        <v>#N/A</v>
      </c>
      <c r="J17" t="e">
        <f>VLOOKUP(Tableau65[[#This Row],[Utilisateur]],Tableau3[[Prenoms (ID)]:[CABINET]],4,FALSE)</f>
        <v>#N/A</v>
      </c>
    </row>
    <row r="18" spans="1:13" x14ac:dyDescent="0.25">
      <c r="A18" s="2">
        <v>45308</v>
      </c>
      <c r="B18" t="s">
        <v>28</v>
      </c>
      <c r="C18" s="6">
        <v>1</v>
      </c>
      <c r="D18" t="s">
        <v>49</v>
      </c>
      <c r="G18" t="s">
        <v>323</v>
      </c>
      <c r="H18" t="str">
        <f>VLOOKUP(Tableau65[[#This Row],[Utilisateur]],Tableau3[[Prenoms (ID)]:[Localisation]],2,FALSE)</f>
        <v>RECCI / Njato Be</v>
      </c>
      <c r="I18" t="str">
        <f>VLOOKUP(Tableau65[[#This Row],[Utilisateur]],Tableau3[[Prenoms (ID)]:[Localisation]],3,FALSE)</f>
        <v>BNI2</v>
      </c>
      <c r="J18">
        <f>VLOOKUP(Tableau65[[#This Row],[Utilisateur]],Tableau3[[Prenoms (ID)]:[CABINET]],4,FALSE)</f>
        <v>0</v>
      </c>
    </row>
    <row r="19" spans="1:13" x14ac:dyDescent="0.25">
      <c r="A19" s="2">
        <v>45308</v>
      </c>
      <c r="B19" t="s">
        <v>28</v>
      </c>
      <c r="C19" s="6">
        <v>1</v>
      </c>
      <c r="D19" t="s">
        <v>49</v>
      </c>
      <c r="G19" t="s">
        <v>324</v>
      </c>
      <c r="H19" t="str">
        <f>VLOOKUP(Tableau65[[#This Row],[Utilisateur]],Tableau3[[Prenoms (ID)]:[Localisation]],2,FALSE)</f>
        <v>Optique / Mirado</v>
      </c>
      <c r="I19" t="str">
        <f>VLOOKUP(Tableau65[[#This Row],[Utilisateur]],Tableau3[[Prenoms (ID)]:[Localisation]],3,FALSE)</f>
        <v>BNI1</v>
      </c>
      <c r="J19">
        <f>VLOOKUP(Tableau65[[#This Row],[Utilisateur]],Tableau3[[Prenoms (ID)]:[CABINET]],4,FALSE)</f>
        <v>0</v>
      </c>
    </row>
    <row r="20" spans="1:13" x14ac:dyDescent="0.25">
      <c r="A20" s="2">
        <v>45309</v>
      </c>
      <c r="B20" t="s">
        <v>60</v>
      </c>
      <c r="C20" s="6">
        <v>1</v>
      </c>
      <c r="D20" t="s">
        <v>49</v>
      </c>
      <c r="G20" t="s">
        <v>325</v>
      </c>
      <c r="H20" s="35" t="str">
        <f>VLOOKUP(Tableau65[[#This Row],[Utilisateur]],Tableau3[[Prenoms (ID)]:[Localisation]],2,FALSE)</f>
        <v>Accefi</v>
      </c>
      <c r="I20" s="35" t="str">
        <f>VLOOKUP(Tableau65[[#This Row],[Utilisateur]],Tableau3[[Prenoms (ID)]:[Localisation]],3,FALSE)</f>
        <v>ACCEFI</v>
      </c>
      <c r="J20" s="35" t="str">
        <f>VLOOKUP(Tableau65[[#This Row],[Utilisateur]],Tableau3[[Prenoms (ID)]:[CABINET]],4,FALSE)</f>
        <v>CPA</v>
      </c>
    </row>
    <row r="21" spans="1:13" x14ac:dyDescent="0.25">
      <c r="A21" s="2">
        <v>45309</v>
      </c>
      <c r="B21" t="s">
        <v>52</v>
      </c>
      <c r="C21" s="57">
        <v>1</v>
      </c>
      <c r="D21" t="s">
        <v>49</v>
      </c>
      <c r="G21" t="s">
        <v>326</v>
      </c>
      <c r="H21" t="str">
        <f>VLOOKUP(Tableau65[[#This Row],[Utilisateur]],Tableau3[[Prenoms (ID)]:[Localisation]],2,FALSE)</f>
        <v>-</v>
      </c>
      <c r="I21" t="str">
        <f>VLOOKUP(Tableau65[[#This Row],[Utilisateur]],Tableau3[[Prenoms (ID)]:[Localisation]],3,FALSE)</f>
        <v>BIRA</v>
      </c>
      <c r="J21" t="str">
        <f>VLOOKUP(Tableau65[[#This Row],[Utilisateur]],Tableau3[[Prenoms (ID)]:[CABINET]],4,FALSE)</f>
        <v>CPA</v>
      </c>
      <c r="K21" t="s">
        <v>283</v>
      </c>
      <c r="M21" s="43" t="s">
        <v>313</v>
      </c>
    </row>
    <row r="22" spans="1:13" x14ac:dyDescent="0.25">
      <c r="A22" s="2">
        <v>45309</v>
      </c>
      <c r="B22" t="s">
        <v>52</v>
      </c>
      <c r="C22" s="57">
        <v>1</v>
      </c>
      <c r="D22" t="s">
        <v>49</v>
      </c>
      <c r="G22" t="s">
        <v>327</v>
      </c>
      <c r="H22" s="35" t="str">
        <f>VLOOKUP(Tableau65[[#This Row],[Utilisateur]],Tableau3[[Prenoms (ID)]:[Localisation]],2,FALSE)</f>
        <v>Accefi</v>
      </c>
      <c r="I22" s="35" t="str">
        <f>VLOOKUP(Tableau65[[#This Row],[Utilisateur]],Tableau3[[Prenoms (ID)]:[Localisation]],3,FALSE)</f>
        <v>ACCEFI</v>
      </c>
      <c r="J22" s="35" t="str">
        <f>VLOOKUP(Tableau65[[#This Row],[Utilisateur]],Tableau3[[Prenoms (ID)]:[CABINET]],4,FALSE)</f>
        <v>CPA</v>
      </c>
    </row>
    <row r="23" spans="1:13" x14ac:dyDescent="0.25">
      <c r="A23" s="2">
        <v>45310</v>
      </c>
      <c r="B23" t="s">
        <v>52</v>
      </c>
      <c r="C23" s="57">
        <v>1</v>
      </c>
      <c r="D23" t="s">
        <v>49</v>
      </c>
      <c r="G23" t="s">
        <v>315</v>
      </c>
      <c r="H23" s="35" t="str">
        <f>VLOOKUP(Tableau65[[#This Row],[Utilisateur]],Tableau3[[Prenoms (ID)]:[Localisation]],2,FALSE)</f>
        <v>COMPTASTAR</v>
      </c>
      <c r="I23" s="35" t="str">
        <f>VLOOKUP(Tableau65[[#This Row],[Utilisateur]],Tableau3[[Prenoms (ID)]:[Localisation]],3,FALSE)</f>
        <v>TSIADANA</v>
      </c>
      <c r="J23" s="35" t="str">
        <f>VLOOKUP(Tableau65[[#This Row],[Utilisateur]],Tableau3[[Prenoms (ID)]:[CABINET]],4,FALSE)</f>
        <v>CPA</v>
      </c>
    </row>
    <row r="24" spans="1:13" x14ac:dyDescent="0.25">
      <c r="A24" s="2">
        <v>45314</v>
      </c>
      <c r="B24" t="s">
        <v>253</v>
      </c>
      <c r="C24" s="6">
        <v>100</v>
      </c>
      <c r="D24" t="s">
        <v>49</v>
      </c>
      <c r="G24" t="s">
        <v>21</v>
      </c>
      <c r="H24">
        <f>VLOOKUP(Tableau65[[#This Row],[Utilisateur]],Tableau3[[Prenoms (ID)]:[Localisation]],2,FALSE)</f>
        <v>0</v>
      </c>
      <c r="I24">
        <f>VLOOKUP(Tableau65[[#This Row],[Utilisateur]],Tableau3[[Prenoms (ID)]:[Localisation]],3,FALSE)</f>
        <v>0</v>
      </c>
      <c r="J24">
        <f>VLOOKUP(Tableau65[[#This Row],[Utilisateur]],Tableau3[[Prenoms (ID)]:[CABINET]],4,FALSE)</f>
        <v>0</v>
      </c>
      <c r="M24" s="16"/>
    </row>
    <row r="25" spans="1:13" x14ac:dyDescent="0.25">
      <c r="A25" s="2">
        <v>45314</v>
      </c>
      <c r="B25" t="s">
        <v>22</v>
      </c>
      <c r="C25" s="6">
        <v>1</v>
      </c>
      <c r="D25" t="s">
        <v>49</v>
      </c>
      <c r="G25" t="s">
        <v>68</v>
      </c>
      <c r="H25" t="str">
        <f>VLOOKUP(Tableau65[[#This Row],[Utilisateur]],Tableau3[[Prenoms (ID)]:[Localisation]],2,FALSE)</f>
        <v>Administration</v>
      </c>
      <c r="I25">
        <f>VLOOKUP(Tableau65[[#This Row],[Utilisateur]],Tableau3[[Prenoms (ID)]:[Localisation]],3,FALSE)</f>
        <v>0</v>
      </c>
      <c r="J25">
        <f>VLOOKUP(Tableau65[[#This Row],[Utilisateur]],Tableau3[[Prenoms (ID)]:[CABINET]],4,FALSE)</f>
        <v>0</v>
      </c>
      <c r="M25" s="16"/>
    </row>
    <row r="26" spans="1:13" x14ac:dyDescent="0.25">
      <c r="A26" s="2">
        <v>45314</v>
      </c>
      <c r="B26" t="s">
        <v>22</v>
      </c>
      <c r="C26" s="6">
        <v>2</v>
      </c>
      <c r="D26" t="s">
        <v>49</v>
      </c>
      <c r="G26" t="s">
        <v>328</v>
      </c>
      <c r="H26" t="str">
        <f>VLOOKUP(Tableau65[[#This Row],[Utilisateur]],Tableau3[[Prenoms (ID)]:[Localisation]],2,FALSE)</f>
        <v>Eccentive</v>
      </c>
      <c r="I26" t="str">
        <f>VLOOKUP(Tableau65[[#This Row],[Utilisateur]],Tableau3[[Prenoms (ID)]:[Localisation]],3,FALSE)</f>
        <v>ECCENTIVE</v>
      </c>
      <c r="J26">
        <f>VLOOKUP(Tableau65[[#This Row],[Utilisateur]],Tableau3[[Prenoms (ID)]:[CABINET]],4,FALSE)</f>
        <v>0</v>
      </c>
      <c r="M26" s="17"/>
    </row>
    <row r="27" spans="1:13" x14ac:dyDescent="0.25">
      <c r="A27" s="2">
        <v>45315</v>
      </c>
      <c r="B27" t="s">
        <v>54</v>
      </c>
      <c r="C27" s="6">
        <v>1</v>
      </c>
      <c r="D27" t="s">
        <v>49</v>
      </c>
      <c r="G27" t="s">
        <v>329</v>
      </c>
      <c r="H27" s="35" t="str">
        <f>VLOOKUP(Tableau65[[#This Row],[Utilisateur]],Tableau3[[Prenoms (ID)]:[Localisation]],2,FALSE)</f>
        <v>Optique / Sata</v>
      </c>
      <c r="I27" s="35" t="str">
        <f>VLOOKUP(Tableau65[[#This Row],[Utilisateur]],Tableau3[[Prenoms (ID)]:[Localisation]],3,FALSE)</f>
        <v>BNI1</v>
      </c>
      <c r="J27" s="35">
        <f>VLOOKUP(Tableau65[[#This Row],[Utilisateur]],Tableau3[[Prenoms (ID)]:[CABINET]],4,FALSE)</f>
        <v>0</v>
      </c>
      <c r="M27" s="43"/>
    </row>
    <row r="28" spans="1:13" x14ac:dyDescent="0.25">
      <c r="A28" s="2">
        <v>45316</v>
      </c>
      <c r="B28" t="s">
        <v>64</v>
      </c>
      <c r="C28" s="6">
        <v>1</v>
      </c>
      <c r="D28" t="s">
        <v>49</v>
      </c>
      <c r="E28" t="s">
        <v>330</v>
      </c>
      <c r="H28" s="35" t="e">
        <f>VLOOKUP(Tableau65[[#This Row],[Utilisateur]],Tableau3[[Prenoms (ID)]:[Localisation]],2,FALSE)</f>
        <v>#N/A</v>
      </c>
      <c r="I28" s="35" t="e">
        <f>VLOOKUP(Tableau65[[#This Row],[Utilisateur]],Tableau3[[Prenoms (ID)]:[Localisation]],3,FALSE)</f>
        <v>#N/A</v>
      </c>
      <c r="J28" s="35" t="e">
        <f>VLOOKUP(Tableau65[[#This Row],[Utilisateur]],Tableau3[[Prenoms (ID)]:[CABINET]],4,FALSE)</f>
        <v>#N/A</v>
      </c>
    </row>
    <row r="29" spans="1:13" x14ac:dyDescent="0.25">
      <c r="A29" s="2">
        <v>45316</v>
      </c>
      <c r="B29" t="s">
        <v>139</v>
      </c>
      <c r="C29" s="6">
        <v>1</v>
      </c>
      <c r="D29" t="s">
        <v>49</v>
      </c>
      <c r="E29" t="s">
        <v>330</v>
      </c>
      <c r="H29" s="35" t="e">
        <f>VLOOKUP(Tableau65[[#This Row],[Utilisateur]],Tableau3[[Prenoms (ID)]:[Localisation]],2,FALSE)</f>
        <v>#N/A</v>
      </c>
      <c r="I29" s="35" t="e">
        <f>VLOOKUP(Tableau65[[#This Row],[Utilisateur]],Tableau3[[Prenoms (ID)]:[Localisation]],3,FALSE)</f>
        <v>#N/A</v>
      </c>
      <c r="J29" s="35" t="e">
        <f>VLOOKUP(Tableau65[[#This Row],[Utilisateur]],Tableau3[[Prenoms (ID)]:[CABINET]],4,FALSE)</f>
        <v>#N/A</v>
      </c>
    </row>
    <row r="30" spans="1:13" x14ac:dyDescent="0.25">
      <c r="A30" s="2">
        <v>45316</v>
      </c>
      <c r="B30" t="s">
        <v>60</v>
      </c>
      <c r="C30" s="6">
        <v>1</v>
      </c>
      <c r="D30" t="s">
        <v>49</v>
      </c>
      <c r="E30" t="s">
        <v>331</v>
      </c>
      <c r="G30" t="s">
        <v>332</v>
      </c>
      <c r="H30" s="35" t="str">
        <f>VLOOKUP(Tableau65[[#This Row],[Utilisateur]],Tableau3[[Prenoms (ID)]:[Localisation]],2,FALSE)</f>
        <v>RECCI SAV</v>
      </c>
      <c r="I30" s="35" t="str">
        <f>VLOOKUP(Tableau65[[#This Row],[Utilisateur]],Tableau3[[Prenoms (ID)]:[Localisation]],3,FALSE)</f>
        <v>BNI2</v>
      </c>
      <c r="J30" s="35">
        <f>VLOOKUP(Tableau65[[#This Row],[Utilisateur]],Tableau3[[Prenoms (ID)]:[CABINET]],4,FALSE)</f>
        <v>0</v>
      </c>
    </row>
    <row r="31" spans="1:13" x14ac:dyDescent="0.25">
      <c r="A31" s="2">
        <v>45317</v>
      </c>
      <c r="B31" t="s">
        <v>54</v>
      </c>
      <c r="C31" s="6">
        <v>1</v>
      </c>
      <c r="D31" t="s">
        <v>49</v>
      </c>
      <c r="G31" t="s">
        <v>333</v>
      </c>
      <c r="H31" s="35" t="str">
        <f>VLOOKUP(Tableau65[[#This Row],[Utilisateur]],Tableau3[[Prenoms (ID)]:[Localisation]],2,FALSE)</f>
        <v>Exaulia</v>
      </c>
      <c r="I31" s="35" t="str">
        <f>VLOOKUP(Tableau65[[#This Row],[Utilisateur]],Tableau3[[Prenoms (ID)]:[Localisation]],3,FALSE)</f>
        <v>BNI1</v>
      </c>
      <c r="J31" s="35">
        <f>VLOOKUP(Tableau65[[#This Row],[Utilisateur]],Tableau3[[Prenoms (ID)]:[CABINET]],4,FALSE)</f>
        <v>0</v>
      </c>
    </row>
    <row r="32" spans="1:13" x14ac:dyDescent="0.25">
      <c r="A32" s="2">
        <v>45321</v>
      </c>
      <c r="B32" t="s">
        <v>54</v>
      </c>
      <c r="C32" s="6">
        <v>1</v>
      </c>
      <c r="D32" t="s">
        <v>49</v>
      </c>
      <c r="G32" t="s">
        <v>334</v>
      </c>
      <c r="H32" s="35" t="str">
        <f>VLOOKUP(Tableau65[[#This Row],[Utilisateur]],Tableau3[[Prenoms (ID)]:[Localisation]],2,FALSE)</f>
        <v>Optique / Mirado</v>
      </c>
      <c r="I32" s="35" t="str">
        <f>VLOOKUP(Tableau65[[#This Row],[Utilisateur]],Tableau3[[Prenoms (ID)]:[Localisation]],3,FALSE)</f>
        <v>BNI1</v>
      </c>
      <c r="J32" s="35">
        <f>VLOOKUP(Tableau65[[#This Row],[Utilisateur]],Tableau3[[Prenoms (ID)]:[CABINET]],4,FALSE)</f>
        <v>0</v>
      </c>
    </row>
    <row r="33" spans="1:13" x14ac:dyDescent="0.25">
      <c r="A33" s="2">
        <v>45321</v>
      </c>
      <c r="B33" t="s">
        <v>52</v>
      </c>
      <c r="C33" s="57">
        <v>1</v>
      </c>
      <c r="D33" t="s">
        <v>49</v>
      </c>
      <c r="G33" t="s">
        <v>334</v>
      </c>
      <c r="H33" s="35" t="str">
        <f>VLOOKUP(Tableau65[[#This Row],[Utilisateur]],Tableau3[[Prenoms (ID)]:[Localisation]],2,FALSE)</f>
        <v>Optique / Mirado</v>
      </c>
      <c r="I33" s="35" t="str">
        <f>VLOOKUP(Tableau65[[#This Row],[Utilisateur]],Tableau3[[Prenoms (ID)]:[Localisation]],3,FALSE)</f>
        <v>BNI1</v>
      </c>
      <c r="J33" s="35">
        <f>VLOOKUP(Tableau65[[#This Row],[Utilisateur]],Tableau3[[Prenoms (ID)]:[CABINET]],4,FALSE)</f>
        <v>0</v>
      </c>
    </row>
    <row r="34" spans="1:13" x14ac:dyDescent="0.25">
      <c r="A34" s="2">
        <v>45322</v>
      </c>
      <c r="B34" t="s">
        <v>52</v>
      </c>
      <c r="C34" s="57">
        <v>1</v>
      </c>
      <c r="D34" t="s">
        <v>49</v>
      </c>
      <c r="G34" t="s">
        <v>335</v>
      </c>
      <c r="H34" s="35" t="str">
        <f>VLOOKUP(Tableau65[[#This Row],[Utilisateur]],Tableau3[[Prenoms (ID)]:[Localisation]],2,FALSE)</f>
        <v>Admin</v>
      </c>
      <c r="I34" s="35" t="str">
        <f>VLOOKUP(Tableau65[[#This Row],[Utilisateur]],Tableau3[[Prenoms (ID)]:[Localisation]],3,FALSE)</f>
        <v>DIRECTION</v>
      </c>
      <c r="J34" s="35">
        <f>VLOOKUP(Tableau65[[#This Row],[Utilisateur]],Tableau3[[Prenoms (ID)]:[CABINET]],4,FALSE)</f>
        <v>0</v>
      </c>
    </row>
    <row r="35" spans="1:13" x14ac:dyDescent="0.25">
      <c r="A35" s="2">
        <v>45322</v>
      </c>
      <c r="B35" t="s">
        <v>30</v>
      </c>
      <c r="C35" s="6">
        <v>1</v>
      </c>
      <c r="D35" t="s">
        <v>49</v>
      </c>
      <c r="G35" t="s">
        <v>97</v>
      </c>
      <c r="H35" t="str">
        <f>VLOOKUP(Tableau65[[#This Row],[Utilisateur]],Tableau3[[Prenoms (ID)]:[Localisation]],2,FALSE)</f>
        <v>Info/Dev</v>
      </c>
      <c r="I35" t="str">
        <f>VLOOKUP(Tableau65[[#This Row],[Utilisateur]],Tableau3[[Prenoms (ID)]:[Localisation]],3,FALSE)</f>
        <v>Informatique</v>
      </c>
      <c r="J35">
        <f>VLOOKUP(Tableau65[[#This Row],[Utilisateur]],Tableau3[[Prenoms (ID)]:[CABINET]],4,FALSE)</f>
        <v>0</v>
      </c>
    </row>
    <row r="36" spans="1:13" x14ac:dyDescent="0.25">
      <c r="A36" s="2">
        <v>45322</v>
      </c>
      <c r="B36" t="s">
        <v>30</v>
      </c>
      <c r="C36" s="6">
        <v>1</v>
      </c>
      <c r="D36" t="s">
        <v>49</v>
      </c>
      <c r="G36" t="s">
        <v>336</v>
      </c>
      <c r="H36" t="str">
        <f>VLOOKUP(Tableau65[[#This Row],[Utilisateur]],Tableau3[[Prenoms (ID)]:[Localisation]],2,FALSE)</f>
        <v>PROGEXION</v>
      </c>
      <c r="I36" t="str">
        <f>VLOOKUP(Tableau65[[#This Row],[Utilisateur]],Tableau3[[Prenoms (ID)]:[Localisation]],3,FALSE)</f>
        <v>ARSAC</v>
      </c>
      <c r="J36">
        <f>VLOOKUP(Tableau65[[#This Row],[Utilisateur]],Tableau3[[Prenoms (ID)]:[CABINET]],4,FALSE)</f>
        <v>0</v>
      </c>
    </row>
    <row r="37" spans="1:13" x14ac:dyDescent="0.25">
      <c r="A37" s="2">
        <v>45322</v>
      </c>
      <c r="B37" t="s">
        <v>30</v>
      </c>
      <c r="C37" s="6">
        <v>1</v>
      </c>
      <c r="D37" t="s">
        <v>49</v>
      </c>
      <c r="G37" t="s">
        <v>337</v>
      </c>
      <c r="H37" t="str">
        <f>VLOOKUP(Tableau65[[#This Row],[Utilisateur]],Tableau3[[Prenoms (ID)]:[Localisation]],2,FALSE)</f>
        <v>Audit CPA</v>
      </c>
      <c r="I37" t="str">
        <f>VLOOKUP(Tableau65[[#This Row],[Utilisateur]],Tableau3[[Prenoms (ID)]:[Localisation]],3,FALSE)</f>
        <v>AUDIT-CPA</v>
      </c>
      <c r="J37" t="str">
        <f>VLOOKUP(Tableau65[[#This Row],[Utilisateur]],Tableau3[[Prenoms (ID)]:[CABINET]],4,FALSE)</f>
        <v>CPA</v>
      </c>
    </row>
    <row r="38" spans="1:13" x14ac:dyDescent="0.25">
      <c r="A38" s="2">
        <v>45322</v>
      </c>
      <c r="B38" t="s">
        <v>30</v>
      </c>
      <c r="C38" s="6">
        <v>1</v>
      </c>
      <c r="D38" t="s">
        <v>49</v>
      </c>
      <c r="G38" t="s">
        <v>338</v>
      </c>
      <c r="H38" t="str">
        <f>VLOOKUP(Tableau65[[#This Row],[Utilisateur]],Tableau3[[Prenoms (ID)]:[Localisation]],2,FALSE)</f>
        <v>Audit CPA</v>
      </c>
      <c r="I38" t="str">
        <f>VLOOKUP(Tableau65[[#This Row],[Utilisateur]],Tableau3[[Prenoms (ID)]:[Localisation]],3,FALSE)</f>
        <v>AUDIT-CPA</v>
      </c>
      <c r="J38" t="str">
        <f>VLOOKUP(Tableau65[[#This Row],[Utilisateur]],Tableau3[[Prenoms (ID)]:[CABINET]],4,FALSE)</f>
        <v>CPA</v>
      </c>
      <c r="M38" s="43"/>
    </row>
    <row r="39" spans="1:13" x14ac:dyDescent="0.25">
      <c r="A39" s="2">
        <v>45322</v>
      </c>
      <c r="B39" t="s">
        <v>30</v>
      </c>
      <c r="C39" s="6">
        <v>1</v>
      </c>
      <c r="D39" t="s">
        <v>49</v>
      </c>
      <c r="G39" t="s">
        <v>339</v>
      </c>
      <c r="H39" t="str">
        <f>VLOOKUP(Tableau65[[#This Row],[Utilisateur]],Tableau3[[Prenoms (ID)]:[Localisation]],2,FALSE)</f>
        <v>Accefi</v>
      </c>
      <c r="I39" t="str">
        <f>VLOOKUP(Tableau65[[#This Row],[Utilisateur]],Tableau3[[Prenoms (ID)]:[Localisation]],3,FALSE)</f>
        <v>ACCEFI</v>
      </c>
      <c r="J39" t="str">
        <f>VLOOKUP(Tableau65[[#This Row],[Utilisateur]],Tableau3[[Prenoms (ID)]:[CABINET]],4,FALSE)</f>
        <v>CPA</v>
      </c>
      <c r="M39" s="43"/>
    </row>
    <row r="40" spans="1:13" x14ac:dyDescent="0.25">
      <c r="A40" s="2">
        <v>45322</v>
      </c>
      <c r="B40" t="s">
        <v>30</v>
      </c>
      <c r="C40" s="6">
        <v>1</v>
      </c>
      <c r="D40" t="s">
        <v>49</v>
      </c>
      <c r="G40" t="s">
        <v>340</v>
      </c>
      <c r="H40" t="str">
        <f>VLOOKUP(Tableau65[[#This Row],[Utilisateur]],Tableau3[[Prenoms (ID)]:[Localisation]],2,FALSE)</f>
        <v>Audit CPA</v>
      </c>
      <c r="I40" t="str">
        <f>VLOOKUP(Tableau65[[#This Row],[Utilisateur]],Tableau3[[Prenoms (ID)]:[Localisation]],3,FALSE)</f>
        <v>AUDIT-CPA</v>
      </c>
      <c r="J40" t="str">
        <f>VLOOKUP(Tableau65[[#This Row],[Utilisateur]],Tableau3[[Prenoms (ID)]:[CABINET]],4,FALSE)</f>
        <v>CPA</v>
      </c>
      <c r="M40" s="43"/>
    </row>
    <row r="41" spans="1:13" x14ac:dyDescent="0.25">
      <c r="A41" s="2">
        <v>45322</v>
      </c>
      <c r="B41" t="s">
        <v>30</v>
      </c>
      <c r="C41" s="6">
        <v>1</v>
      </c>
      <c r="D41" t="s">
        <v>49</v>
      </c>
      <c r="G41" t="s">
        <v>316</v>
      </c>
      <c r="H41" t="str">
        <f>VLOOKUP(Tableau65[[#This Row],[Utilisateur]],Tableau3[[Prenoms (ID)]:[Localisation]],2,FALSE)</f>
        <v>Audit CPA</v>
      </c>
      <c r="I41" t="str">
        <f>VLOOKUP(Tableau65[[#This Row],[Utilisateur]],Tableau3[[Prenoms (ID)]:[Localisation]],3,FALSE)</f>
        <v>AUDIT-CPA</v>
      </c>
      <c r="J41" t="str">
        <f>VLOOKUP(Tableau65[[#This Row],[Utilisateur]],Tableau3[[Prenoms (ID)]:[CABINET]],4,FALSE)</f>
        <v>CPA</v>
      </c>
    </row>
    <row r="42" spans="1:13" x14ac:dyDescent="0.25">
      <c r="A42" s="2">
        <v>45322</v>
      </c>
      <c r="B42" t="s">
        <v>60</v>
      </c>
      <c r="C42" s="6">
        <v>1</v>
      </c>
      <c r="D42" t="s">
        <v>49</v>
      </c>
      <c r="G42" t="s">
        <v>341</v>
      </c>
      <c r="H42" s="35" t="str">
        <f>VLOOKUP(Tableau65[[#This Row],[Utilisateur]],Tableau3[[Prenoms (ID)]:[Localisation]],2,FALSE)</f>
        <v>RECCI</v>
      </c>
      <c r="I42" s="35" t="str">
        <f>VLOOKUP(Tableau65[[#This Row],[Utilisateur]],Tableau3[[Prenoms (ID)]:[Localisation]],3,FALSE)</f>
        <v>LMNP</v>
      </c>
      <c r="J42" s="35">
        <f>VLOOKUP(Tableau65[[#This Row],[Utilisateur]],Tableau3[[Prenoms (ID)]:[CABINET]],4,FALSE)</f>
        <v>0</v>
      </c>
    </row>
    <row r="43" spans="1:13" x14ac:dyDescent="0.25">
      <c r="A43" s="2">
        <v>45322</v>
      </c>
      <c r="B43" t="s">
        <v>52</v>
      </c>
      <c r="C43" s="57">
        <v>1</v>
      </c>
      <c r="D43" t="s">
        <v>49</v>
      </c>
      <c r="G43" t="s">
        <v>342</v>
      </c>
      <c r="H43" s="35" t="str">
        <f>VLOOKUP(Tableau65[[#This Row],[Utilisateur]],Tableau3[[Prenoms (ID)]:[Localisation]],2,FALSE)</f>
        <v>COMPTASTAR</v>
      </c>
      <c r="I43" s="35" t="str">
        <f>VLOOKUP(Tableau65[[#This Row],[Utilisateur]],Tableau3[[Prenoms (ID)]:[Localisation]],3,FALSE)</f>
        <v>COMPTASTAR</v>
      </c>
      <c r="J43" s="35" t="str">
        <f>VLOOKUP(Tableau65[[#This Row],[Utilisateur]],Tableau3[[Prenoms (ID)]:[CABINET]],4,FALSE)</f>
        <v>CPA</v>
      </c>
    </row>
    <row r="44" spans="1:13" x14ac:dyDescent="0.25">
      <c r="A44" s="2">
        <v>45327</v>
      </c>
      <c r="B44" t="s">
        <v>54</v>
      </c>
      <c r="C44" s="6">
        <v>1</v>
      </c>
      <c r="D44" t="s">
        <v>49</v>
      </c>
      <c r="G44" t="s">
        <v>343</v>
      </c>
      <c r="H44" s="35" t="str">
        <f>VLOOKUP(Tableau65[[#This Row],[Utilisateur]],Tableau3[[Prenoms (ID)]:[Localisation]],2,FALSE)</f>
        <v>Optique / Sata</v>
      </c>
      <c r="I44" s="35" t="str">
        <f>VLOOKUP(Tableau65[[#This Row],[Utilisateur]],Tableau3[[Prenoms (ID)]:[Localisation]],3,FALSE)</f>
        <v>BNI1</v>
      </c>
      <c r="J44" s="35" t="str">
        <f>VLOOKUP(Tableau65[[#This Row],[Utilisateur]],Tableau3[[Prenoms (ID)]:[CABINET]],4,FALSE)</f>
        <v>RFC</v>
      </c>
    </row>
    <row r="45" spans="1:13" x14ac:dyDescent="0.25">
      <c r="A45" s="2">
        <v>45328</v>
      </c>
      <c r="B45" t="s">
        <v>24</v>
      </c>
      <c r="C45" s="6">
        <v>1</v>
      </c>
      <c r="D45" t="s">
        <v>49</v>
      </c>
      <c r="G45" t="s">
        <v>344</v>
      </c>
      <c r="H45" s="35" t="str">
        <f>VLOOKUP(Tableau65[[#This Row],[Utilisateur]],Tableau3[[Prenoms (ID)]:[Localisation]],2,FALSE)</f>
        <v>Impulsa</v>
      </c>
      <c r="I45" s="35" t="str">
        <f>VLOOKUP(Tableau65[[#This Row],[Utilisateur]],Tableau3[[Prenoms (ID)]:[Localisation]],3,FALSE)</f>
        <v>BNI2</v>
      </c>
      <c r="J45" s="35">
        <f>VLOOKUP(Tableau65[[#This Row],[Utilisateur]],Tableau3[[Prenoms (ID)]:[CABINET]],4,FALSE)</f>
        <v>0</v>
      </c>
    </row>
    <row r="46" spans="1:13" x14ac:dyDescent="0.25">
      <c r="A46" s="2">
        <v>45328</v>
      </c>
      <c r="B46" t="s">
        <v>24</v>
      </c>
      <c r="C46" s="6">
        <v>1</v>
      </c>
      <c r="D46" t="s">
        <v>49</v>
      </c>
      <c r="G46" t="s">
        <v>345</v>
      </c>
      <c r="H46" s="35" t="str">
        <f>VLOOKUP(Tableau65[[#This Row],[Utilisateur]],Tableau3[[Prenoms (ID)]:[Localisation]],2,FALSE)</f>
        <v>Optique / Sata</v>
      </c>
      <c r="I46" s="35" t="str">
        <f>VLOOKUP(Tableau65[[#This Row],[Utilisateur]],Tableau3[[Prenoms (ID)]:[Localisation]],3,FALSE)</f>
        <v>BNI1</v>
      </c>
      <c r="J46" s="35">
        <f>VLOOKUP(Tableau65[[#This Row],[Utilisateur]],Tableau3[[Prenoms (ID)]:[CABINET]],4,FALSE)</f>
        <v>0</v>
      </c>
    </row>
    <row r="47" spans="1:13" x14ac:dyDescent="0.25">
      <c r="A47" s="2">
        <v>45328</v>
      </c>
      <c r="B47" t="s">
        <v>24</v>
      </c>
      <c r="C47" s="6">
        <v>1</v>
      </c>
      <c r="D47" t="s">
        <v>49</v>
      </c>
      <c r="G47" t="s">
        <v>346</v>
      </c>
      <c r="H47" s="35" t="str">
        <f>VLOOKUP(Tableau65[[#This Row],[Utilisateur]],Tableau3[[Prenoms (ID)]:[Localisation]],2,FALSE)</f>
        <v>Optique / Sata</v>
      </c>
      <c r="I47" s="35" t="str">
        <f>VLOOKUP(Tableau65[[#This Row],[Utilisateur]],Tableau3[[Prenoms (ID)]:[Localisation]],3,FALSE)</f>
        <v>BNI1</v>
      </c>
      <c r="J47" s="35">
        <f>VLOOKUP(Tableau65[[#This Row],[Utilisateur]],Tableau3[[Prenoms (ID)]:[CABINET]],4,FALSE)</f>
        <v>0</v>
      </c>
    </row>
    <row r="48" spans="1:13" x14ac:dyDescent="0.25">
      <c r="A48" s="2">
        <v>45329</v>
      </c>
      <c r="B48" t="s">
        <v>54</v>
      </c>
      <c r="C48" s="6">
        <v>1</v>
      </c>
      <c r="D48" t="s">
        <v>49</v>
      </c>
      <c r="G48" t="s">
        <v>347</v>
      </c>
      <c r="H48" s="35">
        <f>VLOOKUP(Tableau65[[#This Row],[Utilisateur]],Tableau3[[Prenoms (ID)]:[Localisation]],2,FALSE)</f>
        <v>0</v>
      </c>
      <c r="I48" s="35">
        <f>VLOOKUP(Tableau65[[#This Row],[Utilisateur]],Tableau3[[Prenoms (ID)]:[Localisation]],3,FALSE)</f>
        <v>0</v>
      </c>
      <c r="J48" s="35">
        <f>VLOOKUP(Tableau65[[#This Row],[Utilisateur]],Tableau3[[Prenoms (ID)]:[CABINET]],4,FALSE)</f>
        <v>0</v>
      </c>
    </row>
    <row r="49" spans="1:13" x14ac:dyDescent="0.25">
      <c r="A49" s="2">
        <v>45331</v>
      </c>
      <c r="B49" t="s">
        <v>52</v>
      </c>
      <c r="C49" s="57">
        <v>1</v>
      </c>
      <c r="D49" t="s">
        <v>49</v>
      </c>
      <c r="G49" t="s">
        <v>348</v>
      </c>
      <c r="H49" s="35" t="str">
        <f>VLOOKUP(Tableau65[[#This Row],[Utilisateur]],Tableau3[[Prenoms (ID)]:[Localisation]],2,FALSE)</f>
        <v>Cecca rueil</v>
      </c>
      <c r="I49" s="35" t="str">
        <f>VLOOKUP(Tableau65[[#This Row],[Utilisateur]],Tableau3[[Prenoms (ID)]:[Localisation]],3,FALSE)</f>
        <v>BNI1</v>
      </c>
      <c r="J49" s="35">
        <f>VLOOKUP(Tableau65[[#This Row],[Utilisateur]],Tableau3[[Prenoms (ID)]:[CABINET]],4,FALSE)</f>
        <v>0</v>
      </c>
      <c r="M49" t="s">
        <v>349</v>
      </c>
    </row>
    <row r="50" spans="1:13" x14ac:dyDescent="0.25">
      <c r="A50" s="2">
        <v>45334</v>
      </c>
      <c r="B50" t="s">
        <v>52</v>
      </c>
      <c r="C50" s="57">
        <v>1</v>
      </c>
      <c r="D50" t="s">
        <v>49</v>
      </c>
      <c r="E50" t="s">
        <v>282</v>
      </c>
      <c r="G50" t="s">
        <v>350</v>
      </c>
      <c r="H50" t="str">
        <f>VLOOKUP(Tableau65[[#This Row],[Utilisateur]],Tableau3[[Prenoms (ID)]:[Localisation]],2,FALSE)</f>
        <v>Aprrenti</v>
      </c>
      <c r="I50" t="str">
        <f>VLOOKUP(Tableau65[[#This Row],[Utilisateur]],Tableau3[[Prenoms (ID)]:[Localisation]],3,FALSE)</f>
        <v>BIRA</v>
      </c>
      <c r="J50" t="str">
        <f>VLOOKUP(Tableau65[[#This Row],[Utilisateur]],Tableau3[[Prenoms (ID)]:[CABINET]],4,FALSE)</f>
        <v>CPA</v>
      </c>
      <c r="K50" t="s">
        <v>283</v>
      </c>
      <c r="M50" t="s">
        <v>351</v>
      </c>
    </row>
    <row r="51" spans="1:13" x14ac:dyDescent="0.25">
      <c r="A51" s="2">
        <v>45335</v>
      </c>
      <c r="B51" t="s">
        <v>52</v>
      </c>
      <c r="C51" s="57">
        <v>1</v>
      </c>
      <c r="D51" t="s">
        <v>49</v>
      </c>
      <c r="G51" t="s">
        <v>334</v>
      </c>
      <c r="H51" s="35" t="str">
        <f>VLOOKUP(Tableau65[[#This Row],[Utilisateur]],Tableau3[[Prenoms (ID)]:[Localisation]],2,FALSE)</f>
        <v>Optique / Mirado</v>
      </c>
      <c r="I51" s="35" t="str">
        <f>VLOOKUP(Tableau65[[#This Row],[Utilisateur]],Tableau3[[Prenoms (ID)]:[Localisation]],3,FALSE)</f>
        <v>BNI1</v>
      </c>
      <c r="J51" s="35">
        <f>VLOOKUP(Tableau65[[#This Row],[Utilisateur]],Tableau3[[Prenoms (ID)]:[CABINET]],4,FALSE)</f>
        <v>0</v>
      </c>
    </row>
    <row r="52" spans="1:13" x14ac:dyDescent="0.25">
      <c r="A52" s="2">
        <v>45336</v>
      </c>
      <c r="B52" t="s">
        <v>52</v>
      </c>
      <c r="C52" s="57">
        <v>1</v>
      </c>
      <c r="D52" t="s">
        <v>49</v>
      </c>
      <c r="G52" t="s">
        <v>352</v>
      </c>
      <c r="H52" s="35" t="str">
        <f>VLOOKUP(Tableau65[[#This Row],[Utilisateur]],Tableau3[[Prenoms (ID)]:[Localisation]],2,FALSE)</f>
        <v>Optique / Mirado</v>
      </c>
      <c r="I52" s="35" t="str">
        <f>VLOOKUP(Tableau65[[#This Row],[Utilisateur]],Tableau3[[Prenoms (ID)]:[Localisation]],3,FALSE)</f>
        <v>BNI1</v>
      </c>
      <c r="J52" s="35">
        <f>VLOOKUP(Tableau65[[#This Row],[Utilisateur]],Tableau3[[Prenoms (ID)]:[CABINET]],4,FALSE)</f>
        <v>0</v>
      </c>
    </row>
    <row r="53" spans="1:13" x14ac:dyDescent="0.25">
      <c r="A53" s="2">
        <v>45337</v>
      </c>
      <c r="B53" t="s">
        <v>52</v>
      </c>
      <c r="C53" s="57">
        <v>1</v>
      </c>
      <c r="D53" t="s">
        <v>49</v>
      </c>
      <c r="G53" t="s">
        <v>353</v>
      </c>
      <c r="H53" s="35" t="str">
        <f>VLOOKUP(Tableau65[[#This Row],[Utilisateur]],Tableau3[[Prenoms (ID)]:[Localisation]],2,FALSE)</f>
        <v>Paie</v>
      </c>
      <c r="I53" s="35" t="str">
        <f>VLOOKUP(Tableau65[[#This Row],[Utilisateur]],Tableau3[[Prenoms (ID)]:[Localisation]],3,FALSE)</f>
        <v>BNI1</v>
      </c>
      <c r="J53" s="35">
        <f>VLOOKUP(Tableau65[[#This Row],[Utilisateur]],Tableau3[[Prenoms (ID)]:[CABINET]],4,FALSE)</f>
        <v>0</v>
      </c>
    </row>
    <row r="54" spans="1:13" x14ac:dyDescent="0.25">
      <c r="A54" s="2">
        <v>45341</v>
      </c>
      <c r="B54" t="s">
        <v>139</v>
      </c>
      <c r="C54" s="6">
        <v>1</v>
      </c>
      <c r="D54" t="s">
        <v>49</v>
      </c>
      <c r="G54" t="s">
        <v>354</v>
      </c>
      <c r="H54" s="35" t="str">
        <f>VLOOKUP(Tableau65[[#This Row],[Utilisateur]],Tableau3[[Prenoms (ID)]:[Localisation]],2,FALSE)</f>
        <v>RECCI / Lalaina</v>
      </c>
      <c r="I54" s="35" t="str">
        <f>VLOOKUP(Tableau65[[#This Row],[Utilisateur]],Tableau3[[Prenoms (ID)]:[Localisation]],3,FALSE)</f>
        <v>BNI2</v>
      </c>
      <c r="J54" s="35">
        <f>VLOOKUP(Tableau65[[#This Row],[Utilisateur]],Tableau3[[Prenoms (ID)]:[CABINET]],4,FALSE)</f>
        <v>0</v>
      </c>
    </row>
    <row r="55" spans="1:13" x14ac:dyDescent="0.25">
      <c r="A55" s="2">
        <v>45342</v>
      </c>
      <c r="B55" t="s">
        <v>60</v>
      </c>
      <c r="C55" s="6">
        <v>1</v>
      </c>
      <c r="D55" t="s">
        <v>49</v>
      </c>
      <c r="G55" t="s">
        <v>355</v>
      </c>
      <c r="H55" s="35" t="str">
        <f>VLOOKUP(Tableau65[[#This Row],[Utilisateur]],Tableau3[[Prenoms (ID)]:[Localisation]],2,FALSE)</f>
        <v>Cecca etoile</v>
      </c>
      <c r="I55" s="35" t="str">
        <f>VLOOKUP(Tableau65[[#This Row],[Utilisateur]],Tableau3[[Prenoms (ID)]:[Localisation]],3,FALSE)</f>
        <v>BNI1</v>
      </c>
      <c r="J55" s="35">
        <f>VLOOKUP(Tableau65[[#This Row],[Utilisateur]],Tableau3[[Prenoms (ID)]:[CABINET]],4,FALSE)</f>
        <v>0</v>
      </c>
    </row>
    <row r="56" spans="1:13" x14ac:dyDescent="0.25">
      <c r="A56" s="2">
        <v>45348</v>
      </c>
      <c r="B56" t="s">
        <v>58</v>
      </c>
      <c r="C56" s="6">
        <v>1</v>
      </c>
      <c r="D56" t="s">
        <v>49</v>
      </c>
      <c r="G56" t="s">
        <v>345</v>
      </c>
      <c r="H56" s="35" t="str">
        <f>VLOOKUP(Tableau65[[#This Row],[Utilisateur]],Tableau3[[Prenoms (ID)]:[Localisation]],2,FALSE)</f>
        <v>Optique / Sata</v>
      </c>
      <c r="I56" s="35" t="str">
        <f>VLOOKUP(Tableau65[[#This Row],[Utilisateur]],Tableau3[[Prenoms (ID)]:[Localisation]],3,FALSE)</f>
        <v>BNI1</v>
      </c>
      <c r="J56" s="35">
        <f>VLOOKUP(Tableau65[[#This Row],[Utilisateur]],Tableau3[[Prenoms (ID)]:[CABINET]],4,FALSE)</f>
        <v>0</v>
      </c>
    </row>
    <row r="57" spans="1:13" x14ac:dyDescent="0.25">
      <c r="A57" s="2">
        <v>45348</v>
      </c>
      <c r="B57" t="s">
        <v>52</v>
      </c>
      <c r="C57" s="57">
        <v>1</v>
      </c>
      <c r="D57" t="s">
        <v>49</v>
      </c>
      <c r="G57" t="s">
        <v>356</v>
      </c>
      <c r="H57" s="35" t="str">
        <f>VLOOKUP(Tableau65[[#This Row],[Utilisateur]],Tableau3[[Prenoms (ID)]:[Localisation]],2,FALSE)</f>
        <v>Audit CPA</v>
      </c>
      <c r="I57" s="35" t="str">
        <f>VLOOKUP(Tableau65[[#This Row],[Utilisateur]],Tableau3[[Prenoms (ID)]:[Localisation]],3,FALSE)</f>
        <v>AUDIT-CPA</v>
      </c>
      <c r="J57" s="35" t="str">
        <f>VLOOKUP(Tableau65[[#This Row],[Utilisateur]],Tableau3[[Prenoms (ID)]:[CABINET]],4,FALSE)</f>
        <v>CPA</v>
      </c>
    </row>
    <row r="58" spans="1:13" x14ac:dyDescent="0.25">
      <c r="A58" s="2">
        <v>45349</v>
      </c>
      <c r="B58" t="s">
        <v>52</v>
      </c>
      <c r="C58" s="57">
        <v>1</v>
      </c>
      <c r="D58" t="s">
        <v>49</v>
      </c>
      <c r="G58" t="s">
        <v>357</v>
      </c>
      <c r="H58" s="35" t="str">
        <f>VLOOKUP(Tableau65[[#This Row],[Utilisateur]],Tableau3[[Prenoms (ID)]:[Localisation]],2,FALSE)</f>
        <v>RECCI / Njato Be</v>
      </c>
      <c r="I58" s="35" t="str">
        <f>VLOOKUP(Tableau65[[#This Row],[Utilisateur]],Tableau3[[Prenoms (ID)]:[Localisation]],3,FALSE)</f>
        <v>BNI2</v>
      </c>
      <c r="J58" s="35">
        <f>VLOOKUP(Tableau65[[#This Row],[Utilisateur]],Tableau3[[Prenoms (ID)]:[CABINET]],4,FALSE)</f>
        <v>0</v>
      </c>
    </row>
    <row r="59" spans="1:13" x14ac:dyDescent="0.25">
      <c r="A59" s="2">
        <v>45349</v>
      </c>
      <c r="B59" t="s">
        <v>52</v>
      </c>
      <c r="C59" s="57">
        <v>1</v>
      </c>
      <c r="D59" t="s">
        <v>49</v>
      </c>
      <c r="G59" t="s">
        <v>358</v>
      </c>
      <c r="H59" t="str">
        <f>VLOOKUP(Tableau65[[#This Row],[Utilisateur]],Tableau3[[Prenoms (ID)]:[Localisation]],2,FALSE)</f>
        <v>-</v>
      </c>
      <c r="I59" t="str">
        <f>VLOOKUP(Tableau65[[#This Row],[Utilisateur]],Tableau3[[Prenoms (ID)]:[Localisation]],3,FALSE)</f>
        <v>BIRA</v>
      </c>
      <c r="J59" t="str">
        <f>VLOOKUP(Tableau65[[#This Row],[Utilisateur]],Tableau3[[Prenoms (ID)]:[CABINET]],4,FALSE)</f>
        <v>CPA</v>
      </c>
      <c r="K59" t="s">
        <v>283</v>
      </c>
      <c r="M59" s="43" t="s">
        <v>359</v>
      </c>
    </row>
    <row r="60" spans="1:13" x14ac:dyDescent="0.25">
      <c r="A60" s="2">
        <v>45350</v>
      </c>
      <c r="B60" t="s">
        <v>34</v>
      </c>
      <c r="C60" s="6">
        <v>1</v>
      </c>
      <c r="D60" t="s">
        <v>49</v>
      </c>
      <c r="G60" t="s">
        <v>360</v>
      </c>
      <c r="H60" t="str">
        <f>VLOOKUP(Tableau65[[#This Row],[Utilisateur]],Tableau3[[Prenoms (ID)]:[Localisation]],2,FALSE)</f>
        <v>Optique / Mirado</v>
      </c>
      <c r="I60" t="str">
        <f>VLOOKUP(Tableau65[[#This Row],[Utilisateur]],Tableau3[[Prenoms (ID)]:[Localisation]],3,FALSE)</f>
        <v>BNI1</v>
      </c>
      <c r="J60">
        <f>VLOOKUP(Tableau65[[#This Row],[Utilisateur]],Tableau3[[Prenoms (ID)]:[CABINET]],4,FALSE)</f>
        <v>0</v>
      </c>
      <c r="M60" s="43"/>
    </row>
    <row r="61" spans="1:13" x14ac:dyDescent="0.25">
      <c r="A61" s="2">
        <v>45350</v>
      </c>
      <c r="B61" t="s">
        <v>34</v>
      </c>
      <c r="C61" s="6">
        <v>1</v>
      </c>
      <c r="D61" t="s">
        <v>49</v>
      </c>
      <c r="G61" t="s">
        <v>361</v>
      </c>
      <c r="H61" t="str">
        <f>VLOOKUP(Tableau65[[#This Row],[Utilisateur]],Tableau3[[Prenoms (ID)]:[Localisation]],2,FALSE)</f>
        <v>Optique / Mirado</v>
      </c>
      <c r="I61" t="str">
        <f>VLOOKUP(Tableau65[[#This Row],[Utilisateur]],Tableau3[[Prenoms (ID)]:[Localisation]],3,FALSE)</f>
        <v>BNI1</v>
      </c>
      <c r="J61">
        <f>VLOOKUP(Tableau65[[#This Row],[Utilisateur]],Tableau3[[Prenoms (ID)]:[CABINET]],4,FALSE)</f>
        <v>0</v>
      </c>
      <c r="M61" s="43"/>
    </row>
    <row r="62" spans="1:13" x14ac:dyDescent="0.25">
      <c r="A62" s="2">
        <v>45350</v>
      </c>
      <c r="B62" t="s">
        <v>34</v>
      </c>
      <c r="C62" s="6">
        <v>1</v>
      </c>
      <c r="D62" t="s">
        <v>49</v>
      </c>
      <c r="G62" t="s">
        <v>362</v>
      </c>
      <c r="H62" t="str">
        <f>VLOOKUP(Tableau65[[#This Row],[Utilisateur]],Tableau3[[Prenoms (ID)]:[Localisation]],2,FALSE)</f>
        <v>Optique / Mirado</v>
      </c>
      <c r="I62" t="str">
        <f>VLOOKUP(Tableau65[[#This Row],[Utilisateur]],Tableau3[[Prenoms (ID)]:[Localisation]],3,FALSE)</f>
        <v>BNI1</v>
      </c>
      <c r="J62">
        <f>VLOOKUP(Tableau65[[#This Row],[Utilisateur]],Tableau3[[Prenoms (ID)]:[CABINET]],4,FALSE)</f>
        <v>0</v>
      </c>
    </row>
    <row r="63" spans="1:13" x14ac:dyDescent="0.25">
      <c r="A63" s="2">
        <v>45350</v>
      </c>
      <c r="B63" t="s">
        <v>34</v>
      </c>
      <c r="C63" s="6">
        <v>1</v>
      </c>
      <c r="D63" t="s">
        <v>49</v>
      </c>
      <c r="G63" t="s">
        <v>363</v>
      </c>
      <c r="H63" t="str">
        <f>VLOOKUP(Tableau65[[#This Row],[Utilisateur]],Tableau3[[Prenoms (ID)]:[Localisation]],2,FALSE)</f>
        <v>Apprenti</v>
      </c>
      <c r="I63" t="str">
        <f>VLOOKUP(Tableau65[[#This Row],[Utilisateur]],Tableau3[[Prenoms (ID)]:[Localisation]],3,FALSE)</f>
        <v>-</v>
      </c>
      <c r="J63">
        <f>VLOOKUP(Tableau65[[#This Row],[Utilisateur]],Tableau3[[Prenoms (ID)]:[CABINET]],4,FALSE)</f>
        <v>0</v>
      </c>
    </row>
    <row r="64" spans="1:13" x14ac:dyDescent="0.25">
      <c r="A64" s="2">
        <v>45350</v>
      </c>
      <c r="B64" t="s">
        <v>34</v>
      </c>
      <c r="C64" s="6">
        <v>1</v>
      </c>
      <c r="D64" t="s">
        <v>49</v>
      </c>
      <c r="G64" t="s">
        <v>364</v>
      </c>
      <c r="H64" t="str">
        <f>VLOOKUP(Tableau65[[#This Row],[Utilisateur]],Tableau3[[Prenoms (ID)]:[Localisation]],2,FALSE)</f>
        <v>Xperia</v>
      </c>
      <c r="I64" t="str">
        <f>VLOOKUP(Tableau65[[#This Row],[Utilisateur]],Tableau3[[Prenoms (ID)]:[Localisation]],3,FALSE)</f>
        <v>SOCIAL</v>
      </c>
      <c r="J64">
        <f>VLOOKUP(Tableau65[[#This Row],[Utilisateur]],Tableau3[[Prenoms (ID)]:[CABINET]],4,FALSE)</f>
        <v>0</v>
      </c>
    </row>
    <row r="65" spans="1:10" x14ac:dyDescent="0.25">
      <c r="A65" s="2">
        <v>45350</v>
      </c>
      <c r="B65" t="s">
        <v>34</v>
      </c>
      <c r="C65" s="6">
        <v>1</v>
      </c>
      <c r="D65" t="s">
        <v>49</v>
      </c>
      <c r="G65" t="s">
        <v>365</v>
      </c>
      <c r="H65" t="str">
        <f>VLOOKUP(Tableau65[[#This Row],[Utilisateur]],Tableau3[[Prenoms (ID)]:[Localisation]],2,FALSE)</f>
        <v>Eccentive</v>
      </c>
      <c r="I65" t="str">
        <f>VLOOKUP(Tableau65[[#This Row],[Utilisateur]],Tableau3[[Prenoms (ID)]:[Localisation]],3,FALSE)</f>
        <v>ECCENTIVE</v>
      </c>
      <c r="J65">
        <f>VLOOKUP(Tableau65[[#This Row],[Utilisateur]],Tableau3[[Prenoms (ID)]:[CABINET]],4,FALSE)</f>
        <v>0</v>
      </c>
    </row>
    <row r="66" spans="1:10" x14ac:dyDescent="0.25">
      <c r="A66" s="2">
        <v>45350</v>
      </c>
      <c r="B66" t="s">
        <v>36</v>
      </c>
      <c r="C66" s="6">
        <v>1</v>
      </c>
      <c r="D66" t="s">
        <v>49</v>
      </c>
      <c r="G66" t="s">
        <v>366</v>
      </c>
      <c r="H66" t="str">
        <f>VLOOKUP(Tableau65[[#This Row],[Utilisateur]],Tableau3[[Prenoms (ID)]:[Localisation]],2,FALSE)</f>
        <v>RECCI / Njato Be</v>
      </c>
      <c r="I66" t="str">
        <f>VLOOKUP(Tableau65[[#This Row],[Utilisateur]],Tableau3[[Prenoms (ID)]:[Localisation]],3,FALSE)</f>
        <v>BNI2</v>
      </c>
      <c r="J66">
        <f>VLOOKUP(Tableau65[[#This Row],[Utilisateur]],Tableau3[[Prenoms (ID)]:[CABINET]],4,FALSE)</f>
        <v>0</v>
      </c>
    </row>
    <row r="67" spans="1:10" x14ac:dyDescent="0.25">
      <c r="A67" s="2">
        <v>45350</v>
      </c>
      <c r="B67" t="s">
        <v>36</v>
      </c>
      <c r="C67" s="6">
        <v>1</v>
      </c>
      <c r="D67" t="s">
        <v>49</v>
      </c>
      <c r="G67" t="s">
        <v>367</v>
      </c>
      <c r="H67" t="str">
        <f>VLOOKUP(Tableau65[[#This Row],[Utilisateur]],Tableau3[[Prenoms (ID)]:[Localisation]],2,FALSE)</f>
        <v>RECCI / Njato Be</v>
      </c>
      <c r="I67" t="str">
        <f>VLOOKUP(Tableau65[[#This Row],[Utilisateur]],Tableau3[[Prenoms (ID)]:[Localisation]],3,FALSE)</f>
        <v>BNI2</v>
      </c>
      <c r="J67">
        <f>VLOOKUP(Tableau65[[#This Row],[Utilisateur]],Tableau3[[Prenoms (ID)]:[CABINET]],4,FALSE)</f>
        <v>0</v>
      </c>
    </row>
    <row r="68" spans="1:10" x14ac:dyDescent="0.25">
      <c r="A68" s="2">
        <v>45350</v>
      </c>
      <c r="B68" t="s">
        <v>36</v>
      </c>
      <c r="C68" s="6">
        <v>1</v>
      </c>
      <c r="D68" t="s">
        <v>49</v>
      </c>
      <c r="G68" t="s">
        <v>368</v>
      </c>
      <c r="H68" t="str">
        <f>VLOOKUP(Tableau65[[#This Row],[Utilisateur]],Tableau3[[Prenoms (ID)]:[Localisation]],2,FALSE)</f>
        <v>Optique / Sata</v>
      </c>
      <c r="I68" t="str">
        <f>VLOOKUP(Tableau65[[#This Row],[Utilisateur]],Tableau3[[Prenoms (ID)]:[Localisation]],3,FALSE)</f>
        <v>BNI1</v>
      </c>
      <c r="J68" t="str">
        <f>VLOOKUP(Tableau65[[#This Row],[Utilisateur]],Tableau3[[Prenoms (ID)]:[CABINET]],4,FALSE)</f>
        <v>RFC</v>
      </c>
    </row>
    <row r="69" spans="1:10" x14ac:dyDescent="0.25">
      <c r="A69" s="2">
        <v>45350</v>
      </c>
      <c r="B69" t="s">
        <v>36</v>
      </c>
      <c r="C69" s="6">
        <v>1</v>
      </c>
      <c r="D69" t="s">
        <v>49</v>
      </c>
      <c r="G69" t="s">
        <v>369</v>
      </c>
      <c r="H69" t="str">
        <f>VLOOKUP(Tableau65[[#This Row],[Utilisateur]],Tableau3[[Prenoms (ID)]:[Localisation]],2,FALSE)</f>
        <v>Optique / Mirado</v>
      </c>
      <c r="I69" t="str">
        <f>VLOOKUP(Tableau65[[#This Row],[Utilisateur]],Tableau3[[Prenoms (ID)]:[Localisation]],3,FALSE)</f>
        <v>BNI1</v>
      </c>
      <c r="J69">
        <f>VLOOKUP(Tableau65[[#This Row],[Utilisateur]],Tableau3[[Prenoms (ID)]:[CABINET]],4,FALSE)</f>
        <v>0</v>
      </c>
    </row>
    <row r="70" spans="1:10" x14ac:dyDescent="0.25">
      <c r="A70" s="2">
        <v>45350</v>
      </c>
      <c r="B70" t="s">
        <v>36</v>
      </c>
      <c r="C70" s="6">
        <v>1</v>
      </c>
      <c r="D70" t="s">
        <v>49</v>
      </c>
      <c r="G70" t="s">
        <v>370</v>
      </c>
      <c r="H70" t="str">
        <f>VLOOKUP(Tableau65[[#This Row],[Utilisateur]],Tableau3[[Prenoms (ID)]:[Localisation]],2,FALSE)</f>
        <v>Paie</v>
      </c>
      <c r="I70" t="str">
        <f>VLOOKUP(Tableau65[[#This Row],[Utilisateur]],Tableau3[[Prenoms (ID)]:[Localisation]],3,FALSE)</f>
        <v>SOCIAL</v>
      </c>
      <c r="J70">
        <f>VLOOKUP(Tableau65[[#This Row],[Utilisateur]],Tableau3[[Prenoms (ID)]:[CABINET]],4,FALSE)</f>
        <v>0</v>
      </c>
    </row>
    <row r="71" spans="1:10" x14ac:dyDescent="0.25">
      <c r="A71" s="2">
        <v>45350</v>
      </c>
      <c r="B71" t="s">
        <v>36</v>
      </c>
      <c r="C71" s="6">
        <v>1</v>
      </c>
      <c r="D71" t="s">
        <v>49</v>
      </c>
      <c r="G71" t="s">
        <v>345</v>
      </c>
      <c r="H71" t="str">
        <f>VLOOKUP(Tableau65[[#This Row],[Utilisateur]],Tableau3[[Prenoms (ID)]:[Localisation]],2,FALSE)</f>
        <v>Optique / Sata</v>
      </c>
      <c r="I71" t="str">
        <f>VLOOKUP(Tableau65[[#This Row],[Utilisateur]],Tableau3[[Prenoms (ID)]:[Localisation]],3,FALSE)</f>
        <v>BNI1</v>
      </c>
      <c r="J71">
        <f>VLOOKUP(Tableau65[[#This Row],[Utilisateur]],Tableau3[[Prenoms (ID)]:[CABINET]],4,FALSE)</f>
        <v>0</v>
      </c>
    </row>
    <row r="72" spans="1:10" x14ac:dyDescent="0.25">
      <c r="A72" s="2">
        <v>45350</v>
      </c>
      <c r="B72" t="s">
        <v>34</v>
      </c>
      <c r="C72" s="6">
        <v>1</v>
      </c>
      <c r="D72" t="s">
        <v>49</v>
      </c>
      <c r="G72" t="s">
        <v>371</v>
      </c>
      <c r="H72" t="str">
        <f>VLOOKUP(Tableau65[[#This Row],[Utilisateur]],Tableau3[[Prenoms (ID)]:[Localisation]],2,FALSE)</f>
        <v>COMPTASTAR</v>
      </c>
      <c r="I72" t="str">
        <f>VLOOKUP(Tableau65[[#This Row],[Utilisateur]],Tableau3[[Prenoms (ID)]:[Localisation]],3,FALSE)</f>
        <v>COMPTASTAR</v>
      </c>
      <c r="J72" t="str">
        <f>VLOOKUP(Tableau65[[#This Row],[Utilisateur]],Tableau3[[Prenoms (ID)]:[CABINET]],4,FALSE)</f>
        <v>CPA</v>
      </c>
    </row>
    <row r="73" spans="1:10" x14ac:dyDescent="0.25">
      <c r="A73" s="2">
        <v>45350</v>
      </c>
      <c r="B73" t="s">
        <v>34</v>
      </c>
      <c r="C73" s="6">
        <v>1</v>
      </c>
      <c r="D73" t="s">
        <v>49</v>
      </c>
      <c r="G73" t="s">
        <v>372</v>
      </c>
      <c r="H73" t="str">
        <f>VLOOKUP(Tableau65[[#This Row],[Utilisateur]],Tableau3[[Prenoms (ID)]:[Localisation]],2,FALSE)</f>
        <v>Accefi</v>
      </c>
      <c r="I73" t="str">
        <f>VLOOKUP(Tableau65[[#This Row],[Utilisateur]],Tableau3[[Prenoms (ID)]:[Localisation]],3,FALSE)</f>
        <v>ACCEFI</v>
      </c>
      <c r="J73" t="str">
        <f>VLOOKUP(Tableau65[[#This Row],[Utilisateur]],Tableau3[[Prenoms (ID)]:[CABINET]],4,FALSE)</f>
        <v>CPA</v>
      </c>
    </row>
    <row r="74" spans="1:10" x14ac:dyDescent="0.25">
      <c r="A74" s="2">
        <v>45350</v>
      </c>
      <c r="B74" t="s">
        <v>36</v>
      </c>
      <c r="C74" s="6">
        <v>1</v>
      </c>
      <c r="D74" t="s">
        <v>49</v>
      </c>
      <c r="G74" t="s">
        <v>46</v>
      </c>
      <c r="H74" t="str">
        <f>VLOOKUP(Tableau65[[#This Row],[Utilisateur]],Tableau3[[Prenoms (ID)]:[Localisation]],2,FALSE)</f>
        <v>Audit CPA</v>
      </c>
      <c r="I74" t="str">
        <f>VLOOKUP(Tableau65[[#This Row],[Utilisateur]],Tableau3[[Prenoms (ID)]:[Localisation]],3,FALSE)</f>
        <v>AUDIT-CPA</v>
      </c>
      <c r="J74" t="str">
        <f>VLOOKUP(Tableau65[[#This Row],[Utilisateur]],Tableau3[[Prenoms (ID)]:[CABINET]],4,FALSE)</f>
        <v>CPA</v>
      </c>
    </row>
    <row r="75" spans="1:10" x14ac:dyDescent="0.25">
      <c r="A75" s="2">
        <v>45350</v>
      </c>
      <c r="B75" t="s">
        <v>36</v>
      </c>
      <c r="C75" s="6">
        <v>1</v>
      </c>
      <c r="D75" t="s">
        <v>49</v>
      </c>
      <c r="G75" t="s">
        <v>373</v>
      </c>
      <c r="H75" t="str">
        <f>VLOOKUP(Tableau65[[#This Row],[Utilisateur]],Tableau3[[Prenoms (ID)]:[Localisation]],2,FALSE)</f>
        <v>Audit CPA</v>
      </c>
      <c r="I75" t="str">
        <f>VLOOKUP(Tableau65[[#This Row],[Utilisateur]],Tableau3[[Prenoms (ID)]:[Localisation]],3,FALSE)</f>
        <v>AUDIT-CPA</v>
      </c>
      <c r="J75" t="str">
        <f>VLOOKUP(Tableau65[[#This Row],[Utilisateur]],Tableau3[[Prenoms (ID)]:[CABINET]],4,FALSE)</f>
        <v>CPA</v>
      </c>
    </row>
    <row r="76" spans="1:10" x14ac:dyDescent="0.25">
      <c r="A76" s="2">
        <v>45350</v>
      </c>
      <c r="B76" t="s">
        <v>36</v>
      </c>
      <c r="C76" s="6">
        <v>1</v>
      </c>
      <c r="D76" t="s">
        <v>49</v>
      </c>
      <c r="G76" t="s">
        <v>374</v>
      </c>
      <c r="H76" t="str">
        <f>VLOOKUP(Tableau65[[#This Row],[Utilisateur]],Tableau3[[Prenoms (ID)]:[Localisation]],2,FALSE)</f>
        <v>Audit CPA</v>
      </c>
      <c r="I76" t="str">
        <f>VLOOKUP(Tableau65[[#This Row],[Utilisateur]],Tableau3[[Prenoms (ID)]:[Localisation]],3,FALSE)</f>
        <v>AUDIT-CPA</v>
      </c>
      <c r="J76" t="str">
        <f>VLOOKUP(Tableau65[[#This Row],[Utilisateur]],Tableau3[[Prenoms (ID)]:[CABINET]],4,FALSE)</f>
        <v>CPA</v>
      </c>
    </row>
    <row r="77" spans="1:10" x14ac:dyDescent="0.25">
      <c r="A77" s="2">
        <v>45350</v>
      </c>
      <c r="B77" t="s">
        <v>36</v>
      </c>
      <c r="C77" s="6">
        <v>1</v>
      </c>
      <c r="D77" t="s">
        <v>49</v>
      </c>
      <c r="G77" t="s">
        <v>375</v>
      </c>
      <c r="H77" t="str">
        <f>VLOOKUP(Tableau65[[#This Row],[Utilisateur]],Tableau3[[Prenoms (ID)]:[Localisation]],2,FALSE)</f>
        <v>Audit CPA</v>
      </c>
      <c r="I77" t="str">
        <f>VLOOKUP(Tableau65[[#This Row],[Utilisateur]],Tableau3[[Prenoms (ID)]:[Localisation]],3,FALSE)</f>
        <v>AUDIT-CPA</v>
      </c>
      <c r="J77" t="str">
        <f>VLOOKUP(Tableau65[[#This Row],[Utilisateur]],Tableau3[[Prenoms (ID)]:[CABINET]],4,FALSE)</f>
        <v>CPA</v>
      </c>
    </row>
    <row r="78" spans="1:10" x14ac:dyDescent="0.25">
      <c r="A78" s="2">
        <v>45350</v>
      </c>
      <c r="B78" t="s">
        <v>36</v>
      </c>
      <c r="C78" s="6">
        <v>1</v>
      </c>
      <c r="D78" t="s">
        <v>49</v>
      </c>
      <c r="G78" t="s">
        <v>376</v>
      </c>
      <c r="H78" t="str">
        <f>VLOOKUP(Tableau65[[#This Row],[Utilisateur]],Tableau3[[Prenoms (ID)]:[Localisation]],2,FALSE)</f>
        <v>Audit CPA</v>
      </c>
      <c r="I78" t="str">
        <f>VLOOKUP(Tableau65[[#This Row],[Utilisateur]],Tableau3[[Prenoms (ID)]:[Localisation]],3,FALSE)</f>
        <v>AUDIT-CPA</v>
      </c>
      <c r="J78" t="str">
        <f>VLOOKUP(Tableau65[[#This Row],[Utilisateur]],Tableau3[[Prenoms (ID)]:[CABINET]],4,FALSE)</f>
        <v>CPA</v>
      </c>
    </row>
    <row r="79" spans="1:10" x14ac:dyDescent="0.25">
      <c r="A79" s="2">
        <v>45352</v>
      </c>
      <c r="B79" t="s">
        <v>54</v>
      </c>
      <c r="C79" s="6">
        <v>1</v>
      </c>
      <c r="D79" t="s">
        <v>49</v>
      </c>
      <c r="E79" t="s">
        <v>377</v>
      </c>
      <c r="H79" s="35" t="e">
        <f>VLOOKUP(Tableau65[[#This Row],[Utilisateur]],Tableau3[[Prenoms (ID)]:[Localisation]],2,FALSE)</f>
        <v>#N/A</v>
      </c>
      <c r="I79" s="35" t="e">
        <f>VLOOKUP(Tableau65[[#This Row],[Utilisateur]],Tableau3[[Prenoms (ID)]:[Localisation]],3,FALSE)</f>
        <v>#N/A</v>
      </c>
      <c r="J79" s="35" t="e">
        <f>VLOOKUP(Tableau65[[#This Row],[Utilisateur]],Tableau3[[Prenoms (ID)]:[CABINET]],4,FALSE)</f>
        <v>#N/A</v>
      </c>
    </row>
    <row r="80" spans="1:10" x14ac:dyDescent="0.25">
      <c r="A80" s="2">
        <v>45355</v>
      </c>
      <c r="B80" t="s">
        <v>52</v>
      </c>
      <c r="C80" s="57">
        <v>1</v>
      </c>
      <c r="D80" t="s">
        <v>49</v>
      </c>
      <c r="G80" t="s">
        <v>378</v>
      </c>
      <c r="H80" s="35" t="str">
        <f>VLOOKUP(Tableau65[[#This Row],[Utilisateur]],Tableau3[[Prenoms (ID)]:[Localisation]],2,FALSE)</f>
        <v>Audit CPA</v>
      </c>
      <c r="I80" s="35" t="str">
        <f>VLOOKUP(Tableau65[[#This Row],[Utilisateur]],Tableau3[[Prenoms (ID)]:[Localisation]],3,FALSE)</f>
        <v>AUDIT-CPA</v>
      </c>
      <c r="J80" s="35" t="str">
        <f>VLOOKUP(Tableau65[[#This Row],[Utilisateur]],Tableau3[[Prenoms (ID)]:[CABINET]],4,FALSE)</f>
        <v>CPA</v>
      </c>
    </row>
    <row r="81" spans="1:13" x14ac:dyDescent="0.25">
      <c r="A81" s="2">
        <v>45355</v>
      </c>
      <c r="B81" t="s">
        <v>52</v>
      </c>
      <c r="C81" s="57">
        <v>1</v>
      </c>
      <c r="D81" t="s">
        <v>49</v>
      </c>
      <c r="G81" t="s">
        <v>379</v>
      </c>
      <c r="H81" s="35" t="str">
        <f>VLOOKUP(Tableau65[[#This Row],[Utilisateur]],Tableau3[[Prenoms (ID)]:[Localisation]],2,FALSE)</f>
        <v>Admin</v>
      </c>
      <c r="I81" s="35" t="str">
        <f>VLOOKUP(Tableau65[[#This Row],[Utilisateur]],Tableau3[[Prenoms (ID)]:[Localisation]],3,FALSE)</f>
        <v>DIRECTION</v>
      </c>
      <c r="J81" s="35">
        <f>VLOOKUP(Tableau65[[#This Row],[Utilisateur]],Tableau3[[Prenoms (ID)]:[CABINET]],4,FALSE)</f>
        <v>0</v>
      </c>
    </row>
    <row r="82" spans="1:13" x14ac:dyDescent="0.25">
      <c r="A82" s="2">
        <v>45356</v>
      </c>
      <c r="B82" t="s">
        <v>22</v>
      </c>
      <c r="C82" s="6">
        <v>1</v>
      </c>
      <c r="D82" t="s">
        <v>49</v>
      </c>
      <c r="G82" t="s">
        <v>355</v>
      </c>
      <c r="H82" t="str">
        <f>VLOOKUP(Tableau65[[#This Row],[Utilisateur]],Tableau3[[Prenoms (ID)]:[Localisation]],2,FALSE)</f>
        <v>Cecca etoile</v>
      </c>
      <c r="I82" t="str">
        <f>VLOOKUP(Tableau65[[#This Row],[Utilisateur]],Tableau3[[Prenoms (ID)]:[Localisation]],3,FALSE)</f>
        <v>BNI1</v>
      </c>
      <c r="J82">
        <f>VLOOKUP(Tableau65[[#This Row],[Utilisateur]],Tableau3[[Prenoms (ID)]:[CABINET]],4,FALSE)</f>
        <v>0</v>
      </c>
    </row>
    <row r="83" spans="1:13" x14ac:dyDescent="0.25">
      <c r="A83" s="2">
        <v>45356</v>
      </c>
      <c r="B83" t="s">
        <v>22</v>
      </c>
      <c r="C83" s="6">
        <v>1</v>
      </c>
      <c r="D83" t="s">
        <v>49</v>
      </c>
      <c r="G83" t="s">
        <v>225</v>
      </c>
      <c r="H83" t="str">
        <f>VLOOKUP(Tableau65[[#This Row],[Utilisateur]],Tableau3[[Prenoms (ID)]:[Localisation]],2,FALSE)</f>
        <v>AUDIT CPA</v>
      </c>
      <c r="I83" t="str">
        <f>VLOOKUP(Tableau65[[#This Row],[Utilisateur]],Tableau3[[Prenoms (ID)]:[Localisation]],3,FALSE)</f>
        <v>MATURA</v>
      </c>
      <c r="J83">
        <f>VLOOKUP(Tableau65[[#This Row],[Utilisateur]],Tableau3[[Prenoms (ID)]:[CABINET]],4,FALSE)</f>
        <v>0</v>
      </c>
    </row>
    <row r="84" spans="1:13" x14ac:dyDescent="0.25">
      <c r="A84" s="2">
        <v>45356</v>
      </c>
      <c r="B84" t="s">
        <v>22</v>
      </c>
      <c r="C84" s="6">
        <v>1</v>
      </c>
      <c r="D84" t="s">
        <v>49</v>
      </c>
      <c r="G84" t="s">
        <v>380</v>
      </c>
      <c r="H84" t="str">
        <f>VLOOKUP(Tableau65[[#This Row],[Utilisateur]],Tableau3[[Prenoms (ID)]:[Localisation]],2,FALSE)</f>
        <v>PROGEXION</v>
      </c>
      <c r="I84" t="str">
        <f>VLOOKUP(Tableau65[[#This Row],[Utilisateur]],Tableau3[[Prenoms (ID)]:[Localisation]],3,FALSE)</f>
        <v>ARSAC</v>
      </c>
      <c r="J84">
        <f>VLOOKUP(Tableau65[[#This Row],[Utilisateur]],Tableau3[[Prenoms (ID)]:[CABINET]],4,FALSE)</f>
        <v>0</v>
      </c>
    </row>
    <row r="85" spans="1:13" x14ac:dyDescent="0.25">
      <c r="A85" s="2">
        <v>45356</v>
      </c>
      <c r="B85" t="s">
        <v>52</v>
      </c>
      <c r="C85" s="57">
        <v>1</v>
      </c>
      <c r="D85" t="s">
        <v>49</v>
      </c>
      <c r="E85" t="s">
        <v>381</v>
      </c>
      <c r="H85" s="35" t="e">
        <f>VLOOKUP(Tableau65[[#This Row],[Utilisateur]],Tableau3[[Prenoms (ID)]:[Localisation]],2,FALSE)</f>
        <v>#N/A</v>
      </c>
      <c r="I85" s="35" t="e">
        <f>VLOOKUP(Tableau65[[#This Row],[Utilisateur]],Tableau3[[Prenoms (ID)]:[Localisation]],3,FALSE)</f>
        <v>#N/A</v>
      </c>
      <c r="J85" s="35" t="e">
        <f>VLOOKUP(Tableau65[[#This Row],[Utilisateur]],Tableau3[[Prenoms (ID)]:[CABINET]],4,FALSE)</f>
        <v>#N/A</v>
      </c>
    </row>
    <row r="86" spans="1:13" x14ac:dyDescent="0.25">
      <c r="A86" s="2">
        <v>45357</v>
      </c>
      <c r="B86" t="s">
        <v>41</v>
      </c>
      <c r="C86" s="6">
        <v>1</v>
      </c>
      <c r="D86" t="s">
        <v>49</v>
      </c>
      <c r="G86" t="s">
        <v>382</v>
      </c>
      <c r="H86" t="str">
        <f>VLOOKUP(Tableau65[[#This Row],[Utilisateur]],Tableau3[[Prenoms (ID)]:[Localisation]],2,FALSE)</f>
        <v>Cecca rueil</v>
      </c>
      <c r="I86" t="str">
        <f>VLOOKUP(Tableau65[[#This Row],[Utilisateur]],Tableau3[[Prenoms (ID)]:[Localisation]],3,FALSE)</f>
        <v>BNI1</v>
      </c>
      <c r="J86">
        <f>VLOOKUP(Tableau65[[#This Row],[Utilisateur]],Tableau3[[Prenoms (ID)]:[CABINET]],4,FALSE)</f>
        <v>0</v>
      </c>
    </row>
    <row r="87" spans="1:13" x14ac:dyDescent="0.25">
      <c r="A87" s="2">
        <v>45357</v>
      </c>
      <c r="B87" t="s">
        <v>41</v>
      </c>
      <c r="C87" s="6">
        <v>1</v>
      </c>
      <c r="D87" t="s">
        <v>49</v>
      </c>
      <c r="G87" t="s">
        <v>383</v>
      </c>
      <c r="H87" t="str">
        <f>VLOOKUP(Tableau65[[#This Row],[Utilisateur]],Tableau3[[Prenoms (ID)]:[Localisation]],2,FALSE)</f>
        <v>RECCI SAV</v>
      </c>
      <c r="I87" t="str">
        <f>VLOOKUP(Tableau65[[#This Row],[Utilisateur]],Tableau3[[Prenoms (ID)]:[Localisation]],3,FALSE)</f>
        <v>BNI2</v>
      </c>
      <c r="J87">
        <f>VLOOKUP(Tableau65[[#This Row],[Utilisateur]],Tableau3[[Prenoms (ID)]:[CABINET]],4,FALSE)</f>
        <v>0</v>
      </c>
    </row>
    <row r="88" spans="1:13" x14ac:dyDescent="0.25">
      <c r="A88" s="2">
        <v>45357</v>
      </c>
      <c r="B88" t="s">
        <v>41</v>
      </c>
      <c r="C88" s="6">
        <v>1</v>
      </c>
      <c r="D88" t="s">
        <v>49</v>
      </c>
      <c r="G88" t="s">
        <v>384</v>
      </c>
      <c r="H88" t="str">
        <f>VLOOKUP(Tableau65[[#This Row],[Utilisateur]],Tableau3[[Prenoms (ID)]:[Localisation]],2,FALSE)</f>
        <v>Eccentive</v>
      </c>
      <c r="I88" t="str">
        <f>VLOOKUP(Tableau65[[#This Row],[Utilisateur]],Tableau3[[Prenoms (ID)]:[Localisation]],3,FALSE)</f>
        <v>ECCENTIVE</v>
      </c>
      <c r="J88">
        <f>VLOOKUP(Tableau65[[#This Row],[Utilisateur]],Tableau3[[Prenoms (ID)]:[CABINET]],4,FALSE)</f>
        <v>0</v>
      </c>
    </row>
    <row r="89" spans="1:13" x14ac:dyDescent="0.25">
      <c r="A89" s="2">
        <v>45357</v>
      </c>
      <c r="B89" t="s">
        <v>41</v>
      </c>
      <c r="C89" s="6">
        <v>1</v>
      </c>
      <c r="D89" t="s">
        <v>49</v>
      </c>
      <c r="G89" t="s">
        <v>385</v>
      </c>
      <c r="H89" t="str">
        <f>VLOOKUP(Tableau65[[#This Row],[Utilisateur]],Tableau3[[Prenoms (ID)]:[Localisation]],2,FALSE)</f>
        <v>Audit CPA</v>
      </c>
      <c r="I89" t="str">
        <f>VLOOKUP(Tableau65[[#This Row],[Utilisateur]],Tableau3[[Prenoms (ID)]:[Localisation]],3,FALSE)</f>
        <v>AUDIT-CPA</v>
      </c>
      <c r="J89" t="str">
        <f>VLOOKUP(Tableau65[[#This Row],[Utilisateur]],Tableau3[[Prenoms (ID)]:[CABINET]],4,FALSE)</f>
        <v>CPA</v>
      </c>
    </row>
    <row r="90" spans="1:13" x14ac:dyDescent="0.25">
      <c r="A90" s="2">
        <v>45357</v>
      </c>
      <c r="B90" t="s">
        <v>41</v>
      </c>
      <c r="C90" s="6">
        <v>1</v>
      </c>
      <c r="D90" t="s">
        <v>49</v>
      </c>
      <c r="G90" t="s">
        <v>386</v>
      </c>
      <c r="H90" t="str">
        <f>VLOOKUP(Tableau65[[#This Row],[Utilisateur]],Tableau3[[Prenoms (ID)]:[Localisation]],2,FALSE)</f>
        <v>Audit CPA</v>
      </c>
      <c r="I90" t="str">
        <f>VLOOKUP(Tableau65[[#This Row],[Utilisateur]],Tableau3[[Prenoms (ID)]:[Localisation]],3,FALSE)</f>
        <v>AUDIT-CPA</v>
      </c>
      <c r="J90" t="str">
        <f>VLOOKUP(Tableau65[[#This Row],[Utilisateur]],Tableau3[[Prenoms (ID)]:[CABINET]],4,FALSE)</f>
        <v>CPA</v>
      </c>
    </row>
    <row r="91" spans="1:13" x14ac:dyDescent="0.25">
      <c r="A91" s="2">
        <v>45357</v>
      </c>
      <c r="B91" t="s">
        <v>253</v>
      </c>
      <c r="C91" s="6">
        <v>100</v>
      </c>
      <c r="D91" t="s">
        <v>15</v>
      </c>
      <c r="G91" s="27" t="s">
        <v>17</v>
      </c>
      <c r="H91">
        <f>VLOOKUP(Tableau65[[#This Row],[Utilisateur]],Tableau3[[Prenoms (ID)]:[Localisation]],2,FALSE)</f>
        <v>0</v>
      </c>
      <c r="I91" t="str">
        <f>VLOOKUP(Tableau65[[#This Row],[Utilisateur]],Tableau3[[Prenoms (ID)]:[Localisation]],3,FALSE)</f>
        <v>MADAFIT</v>
      </c>
      <c r="J91">
        <f>VLOOKUP(Tableau65[[#This Row],[Utilisateur]],Tableau3[[Prenoms (ID)]:[CABINET]],4,FALSE)</f>
        <v>0</v>
      </c>
    </row>
    <row r="92" spans="1:13" x14ac:dyDescent="0.25">
      <c r="A92" s="2">
        <v>45357</v>
      </c>
      <c r="B92" t="s">
        <v>44</v>
      </c>
      <c r="C92" s="6">
        <v>1</v>
      </c>
      <c r="D92" t="s">
        <v>49</v>
      </c>
      <c r="G92" t="s">
        <v>21</v>
      </c>
      <c r="H92">
        <f>VLOOKUP(Tableau65[[#This Row],[Utilisateur]],Tableau3[[Prenoms (ID)]:[Localisation]],2,FALSE)</f>
        <v>0</v>
      </c>
      <c r="I92">
        <f>VLOOKUP(Tableau65[[#This Row],[Utilisateur]],Tableau3[[Prenoms (ID)]:[Localisation]],3,FALSE)</f>
        <v>0</v>
      </c>
      <c r="J92">
        <f>VLOOKUP(Tableau65[[#This Row],[Utilisateur]],Tableau3[[Prenoms (ID)]:[CABINET]],4,FALSE)</f>
        <v>0</v>
      </c>
    </row>
    <row r="93" spans="1:13" x14ac:dyDescent="0.25">
      <c r="A93" s="2">
        <v>45357</v>
      </c>
      <c r="B93" t="s">
        <v>45</v>
      </c>
      <c r="C93" s="6">
        <v>1</v>
      </c>
      <c r="D93" t="s">
        <v>49</v>
      </c>
      <c r="G93" t="s">
        <v>46</v>
      </c>
      <c r="H93" t="str">
        <f>VLOOKUP(Tableau65[[#This Row],[Utilisateur]],Tableau3[[Prenoms (ID)]:[Localisation]],2,FALSE)</f>
        <v>Audit CPA</v>
      </c>
      <c r="I93" t="str">
        <f>VLOOKUP(Tableau65[[#This Row],[Utilisateur]],Tableau3[[Prenoms (ID)]:[Localisation]],3,FALSE)</f>
        <v>AUDIT-CPA</v>
      </c>
      <c r="J93" t="str">
        <f>VLOOKUP(Tableau65[[#This Row],[Utilisateur]],Tableau3[[Prenoms (ID)]:[CABINET]],4,FALSE)</f>
        <v>CPA</v>
      </c>
    </row>
    <row r="94" spans="1:13" x14ac:dyDescent="0.25">
      <c r="A94" s="2">
        <v>45357</v>
      </c>
      <c r="B94" t="s">
        <v>52</v>
      </c>
      <c r="C94" s="57">
        <v>1</v>
      </c>
      <c r="D94" t="s">
        <v>49</v>
      </c>
      <c r="G94" t="s">
        <v>387</v>
      </c>
      <c r="H94" s="35" t="str">
        <f>VLOOKUP(Tableau65[[#This Row],[Utilisateur]],Tableau3[[Prenoms (ID)]:[Localisation]],2,FALSE)</f>
        <v>Comptastar</v>
      </c>
      <c r="I94" s="35" t="str">
        <f>VLOOKUP(Tableau65[[#This Row],[Utilisateur]],Tableau3[[Prenoms (ID)]:[Localisation]],3,FALSE)</f>
        <v>CENTRE</v>
      </c>
      <c r="J94" s="35">
        <f>VLOOKUP(Tableau65[[#This Row],[Utilisateur]],Tableau3[[Prenoms (ID)]:[CABINET]],4,FALSE)</f>
        <v>0</v>
      </c>
    </row>
    <row r="95" spans="1:13" x14ac:dyDescent="0.25">
      <c r="A95" s="2">
        <v>45359</v>
      </c>
      <c r="B95" t="s">
        <v>52</v>
      </c>
      <c r="C95" s="57">
        <v>1</v>
      </c>
      <c r="D95" t="s">
        <v>49</v>
      </c>
      <c r="G95" t="s">
        <v>388</v>
      </c>
      <c r="H95" t="str">
        <f>VLOOKUP(Tableau65[[#This Row],[Utilisateur]],Tableau3[[Prenoms (ID)]:[Localisation]],2,FALSE)</f>
        <v>Audit CPA</v>
      </c>
      <c r="I95" t="str">
        <f>VLOOKUP(Tableau65[[#This Row],[Utilisateur]],Tableau3[[Prenoms (ID)]:[Localisation]],3,FALSE)</f>
        <v>BIRA</v>
      </c>
      <c r="J95" t="str">
        <f>VLOOKUP(Tableau65[[#This Row],[Utilisateur]],Tableau3[[Prenoms (ID)]:[CABINET]],4,FALSE)</f>
        <v>CPA</v>
      </c>
      <c r="K95" t="s">
        <v>283</v>
      </c>
      <c r="M95" s="15" t="s">
        <v>389</v>
      </c>
    </row>
    <row r="96" spans="1:13" x14ac:dyDescent="0.25">
      <c r="A96" s="2">
        <v>45362</v>
      </c>
      <c r="B96" t="s">
        <v>52</v>
      </c>
      <c r="C96" s="57">
        <v>1</v>
      </c>
      <c r="D96" t="s">
        <v>49</v>
      </c>
      <c r="G96" t="s">
        <v>346</v>
      </c>
      <c r="H96" s="35" t="str">
        <f>VLOOKUP(Tableau65[[#This Row],[Utilisateur]],Tableau3[[Prenoms (ID)]:[Localisation]],2,FALSE)</f>
        <v>Optique / Sata</v>
      </c>
      <c r="I96" s="35" t="str">
        <f>VLOOKUP(Tableau65[[#This Row],[Utilisateur]],Tableau3[[Prenoms (ID)]:[Localisation]],3,FALSE)</f>
        <v>BNI1</v>
      </c>
      <c r="J96" s="35">
        <f>VLOOKUP(Tableau65[[#This Row],[Utilisateur]],Tableau3[[Prenoms (ID)]:[CABINET]],4,FALSE)</f>
        <v>0</v>
      </c>
    </row>
    <row r="97" spans="1:13" x14ac:dyDescent="0.25">
      <c r="A97" s="2">
        <v>45362</v>
      </c>
      <c r="B97" t="s">
        <v>52</v>
      </c>
      <c r="C97" s="57">
        <v>1</v>
      </c>
      <c r="D97" t="s">
        <v>49</v>
      </c>
      <c r="G97" t="s">
        <v>334</v>
      </c>
      <c r="H97" s="35" t="str">
        <f>VLOOKUP(Tableau65[[#This Row],[Utilisateur]],Tableau3[[Prenoms (ID)]:[Localisation]],2,FALSE)</f>
        <v>Optique / Mirado</v>
      </c>
      <c r="I97" s="35" t="str">
        <f>VLOOKUP(Tableau65[[#This Row],[Utilisateur]],Tableau3[[Prenoms (ID)]:[Localisation]],3,FALSE)</f>
        <v>BNI1</v>
      </c>
      <c r="J97" s="35">
        <f>VLOOKUP(Tableau65[[#This Row],[Utilisateur]],Tableau3[[Prenoms (ID)]:[CABINET]],4,FALSE)</f>
        <v>0</v>
      </c>
    </row>
    <row r="98" spans="1:13" x14ac:dyDescent="0.25">
      <c r="A98" s="2">
        <v>45363</v>
      </c>
      <c r="B98" t="s">
        <v>24</v>
      </c>
      <c r="C98" s="6">
        <v>1</v>
      </c>
      <c r="D98" t="s">
        <v>49</v>
      </c>
      <c r="G98" t="s">
        <v>390</v>
      </c>
      <c r="H98" s="35" t="str">
        <f>VLOOKUP(Tableau65[[#This Row],[Utilisateur]],Tableau3[[Prenoms (ID)]:[Localisation]],2,FALSE)</f>
        <v>Audit CPA</v>
      </c>
      <c r="I98" s="35" t="str">
        <f>VLOOKUP(Tableau65[[#This Row],[Utilisateur]],Tableau3[[Prenoms (ID)]:[Localisation]],3,FALSE)</f>
        <v>AUDIT-CPA</v>
      </c>
      <c r="J98" s="35" t="str">
        <f>VLOOKUP(Tableau65[[#This Row],[Utilisateur]],Tableau3[[Prenoms (ID)]:[CABINET]],4,FALSE)</f>
        <v>CPA</v>
      </c>
    </row>
    <row r="99" spans="1:13" x14ac:dyDescent="0.25">
      <c r="A99" s="2">
        <v>45363</v>
      </c>
      <c r="B99" t="s">
        <v>52</v>
      </c>
      <c r="C99" s="57">
        <v>1</v>
      </c>
      <c r="D99" t="s">
        <v>49</v>
      </c>
      <c r="G99" t="s">
        <v>391</v>
      </c>
      <c r="H99" t="str">
        <f>VLOOKUP(Tableau65[[#This Row],[Utilisateur]],Tableau3[[Prenoms (ID)]:[Localisation]],2,FALSE)</f>
        <v>-</v>
      </c>
      <c r="I99" t="str">
        <f>VLOOKUP(Tableau65[[#This Row],[Utilisateur]],Tableau3[[Prenoms (ID)]:[Localisation]],3,FALSE)</f>
        <v>BIRA</v>
      </c>
      <c r="J99" t="str">
        <f>VLOOKUP(Tableau65[[#This Row],[Utilisateur]],Tableau3[[Prenoms (ID)]:[CABINET]],4,FALSE)</f>
        <v>CPA</v>
      </c>
      <c r="K99" t="s">
        <v>283</v>
      </c>
      <c r="M99" s="15" t="s">
        <v>392</v>
      </c>
    </row>
    <row r="100" spans="1:13" x14ac:dyDescent="0.25">
      <c r="A100" s="2">
        <v>45365</v>
      </c>
      <c r="B100" t="s">
        <v>52</v>
      </c>
      <c r="C100" s="57">
        <v>1</v>
      </c>
      <c r="D100" t="s">
        <v>49</v>
      </c>
      <c r="G100" t="s">
        <v>393</v>
      </c>
      <c r="H100" t="str">
        <f>VLOOKUP(Tableau65[[#This Row],[Utilisateur]],Tableau3[[Prenoms (ID)]:[Localisation]],2,FALSE)</f>
        <v>-</v>
      </c>
      <c r="I100" t="str">
        <f>VLOOKUP(Tableau65[[#This Row],[Utilisateur]],Tableau3[[Prenoms (ID)]:[Localisation]],3,FALSE)</f>
        <v>BIRA</v>
      </c>
      <c r="J100" t="str">
        <f>VLOOKUP(Tableau65[[#This Row],[Utilisateur]],Tableau3[[Prenoms (ID)]:[CABINET]],4,FALSE)</f>
        <v>CPA</v>
      </c>
      <c r="K100" t="s">
        <v>283</v>
      </c>
      <c r="M100" s="15" t="s">
        <v>394</v>
      </c>
    </row>
    <row r="101" spans="1:13" x14ac:dyDescent="0.25">
      <c r="A101" s="2">
        <v>45365</v>
      </c>
      <c r="B101" t="s">
        <v>52</v>
      </c>
      <c r="C101" s="57">
        <v>1</v>
      </c>
      <c r="D101" t="s">
        <v>49</v>
      </c>
      <c r="G101" t="s">
        <v>395</v>
      </c>
      <c r="H101" s="35" t="str">
        <f>VLOOKUP(Tableau65[[#This Row],[Utilisateur]],Tableau3[[Prenoms (ID)]:[Localisation]],2,FALSE)</f>
        <v>RECCI SAV</v>
      </c>
      <c r="I101" s="35" t="str">
        <f>VLOOKUP(Tableau65[[#This Row],[Utilisateur]],Tableau3[[Prenoms (ID)]:[Localisation]],3,FALSE)</f>
        <v>BNI2</v>
      </c>
      <c r="J101" s="35">
        <f>VLOOKUP(Tableau65[[#This Row],[Utilisateur]],Tableau3[[Prenoms (ID)]:[CABINET]],4,FALSE)</f>
        <v>0</v>
      </c>
    </row>
    <row r="102" spans="1:13" x14ac:dyDescent="0.25">
      <c r="A102" s="2">
        <v>45371</v>
      </c>
      <c r="B102" t="s">
        <v>24</v>
      </c>
      <c r="C102" s="6">
        <v>1</v>
      </c>
      <c r="D102" t="s">
        <v>49</v>
      </c>
      <c r="E102" t="s">
        <v>396</v>
      </c>
      <c r="H102" s="35" t="e">
        <f>VLOOKUP(Tableau65[[#This Row],[Utilisateur]],Tableau3[[Prenoms (ID)]:[Localisation]],2,FALSE)</f>
        <v>#N/A</v>
      </c>
      <c r="I102" s="35" t="e">
        <f>VLOOKUP(Tableau65[[#This Row],[Utilisateur]],Tableau3[[Prenoms (ID)]:[Localisation]],3,FALSE)</f>
        <v>#N/A</v>
      </c>
      <c r="J102" s="35" t="e">
        <f>VLOOKUP(Tableau65[[#This Row],[Utilisateur]],Tableau3[[Prenoms (ID)]:[CABINET]],4,FALSE)</f>
        <v>#N/A</v>
      </c>
    </row>
    <row r="103" spans="1:13" x14ac:dyDescent="0.25">
      <c r="A103" s="2">
        <v>45371</v>
      </c>
      <c r="B103" t="s">
        <v>25</v>
      </c>
      <c r="C103" s="6">
        <v>1</v>
      </c>
      <c r="D103" t="s">
        <v>49</v>
      </c>
      <c r="G103" t="s">
        <v>397</v>
      </c>
      <c r="H103" s="35" t="str">
        <f>VLOOKUP(Tableau65[[#This Row],[Utilisateur]],Tableau3[[Prenoms (ID)]:[Localisation]],2,FALSE)</f>
        <v>-</v>
      </c>
      <c r="I103" s="35" t="str">
        <f>VLOOKUP(Tableau65[[#This Row],[Utilisateur]],Tableau3[[Prenoms (ID)]:[Localisation]],3,FALSE)</f>
        <v>BIRA</v>
      </c>
      <c r="J103" s="35" t="str">
        <f>VLOOKUP(Tableau65[[#This Row],[Utilisateur]],Tableau3[[Prenoms (ID)]:[CABINET]],4,FALSE)</f>
        <v>CPA</v>
      </c>
      <c r="M103" t="s">
        <v>398</v>
      </c>
    </row>
    <row r="104" spans="1:13" x14ac:dyDescent="0.25">
      <c r="A104" s="2">
        <v>45378</v>
      </c>
      <c r="B104" t="s">
        <v>54</v>
      </c>
      <c r="C104" s="6">
        <v>1</v>
      </c>
      <c r="D104" t="s">
        <v>49</v>
      </c>
      <c r="G104" t="s">
        <v>399</v>
      </c>
      <c r="H104" s="35" t="str">
        <f>VLOOKUP(Tableau65[[#This Row],[Utilisateur]],Tableau3[[Prenoms (ID)]:[Localisation]],2,FALSE)</f>
        <v>Optique / Sata</v>
      </c>
      <c r="I104" s="35" t="str">
        <f>VLOOKUP(Tableau65[[#This Row],[Utilisateur]],Tableau3[[Prenoms (ID)]:[Localisation]],3,FALSE)</f>
        <v>BNI1</v>
      </c>
      <c r="J104" s="35">
        <f>VLOOKUP(Tableau65[[#This Row],[Utilisateur]],Tableau3[[Prenoms (ID)]:[CABINET]],4,FALSE)</f>
        <v>0</v>
      </c>
    </row>
    <row r="105" spans="1:13" x14ac:dyDescent="0.25">
      <c r="A105" s="2">
        <v>45379</v>
      </c>
      <c r="B105" t="s">
        <v>52</v>
      </c>
      <c r="C105" s="57">
        <v>1</v>
      </c>
      <c r="D105" t="s">
        <v>49</v>
      </c>
      <c r="G105" t="s">
        <v>368</v>
      </c>
      <c r="H105" s="35" t="str">
        <f>VLOOKUP(Tableau65[[#This Row],[Utilisateur]],Tableau3[[Prenoms (ID)]:[Localisation]],2,FALSE)</f>
        <v>Optique / Sata</v>
      </c>
      <c r="I105" s="35" t="str">
        <f>VLOOKUP(Tableau65[[#This Row],[Utilisateur]],Tableau3[[Prenoms (ID)]:[Localisation]],3,FALSE)</f>
        <v>BNI1</v>
      </c>
      <c r="J105" s="35" t="str">
        <f>VLOOKUP(Tableau65[[#This Row],[Utilisateur]],Tableau3[[Prenoms (ID)]:[CABINET]],4,FALSE)</f>
        <v>RFC</v>
      </c>
    </row>
    <row r="106" spans="1:13" x14ac:dyDescent="0.25">
      <c r="A106" s="2">
        <v>45385</v>
      </c>
      <c r="B106" t="s">
        <v>48</v>
      </c>
      <c r="C106" s="6">
        <v>1</v>
      </c>
      <c r="D106" t="s">
        <v>49</v>
      </c>
      <c r="G106" t="s">
        <v>50</v>
      </c>
      <c r="H106">
        <f>VLOOKUP(Tableau65[[#This Row],[Utilisateur]],Tableau3[[Prenoms (ID)]:[Localisation]],2,FALSE)</f>
        <v>0</v>
      </c>
      <c r="I106">
        <f>VLOOKUP(Tableau65[[#This Row],[Utilisateur]],Tableau3[[Prenoms (ID)]:[Localisation]],3,FALSE)</f>
        <v>0</v>
      </c>
      <c r="J106">
        <f>VLOOKUP(Tableau65[[#This Row],[Utilisateur]],Tableau3[[Prenoms (ID)]:[CABINET]],4,FALSE)</f>
        <v>0</v>
      </c>
    </row>
    <row r="107" spans="1:13" x14ac:dyDescent="0.25">
      <c r="A107" s="2">
        <v>45393</v>
      </c>
      <c r="B107" t="s">
        <v>52</v>
      </c>
      <c r="C107" s="57">
        <v>1</v>
      </c>
      <c r="D107" t="s">
        <v>49</v>
      </c>
      <c r="G107" t="s">
        <v>400</v>
      </c>
      <c r="H107" t="str">
        <f>VLOOKUP(Tableau65[[#This Row],[Utilisateur]],Tableau3[[Prenoms (ID)]:[Localisation]],2,FALSE)</f>
        <v>Audit CPA</v>
      </c>
      <c r="I107" t="str">
        <f>VLOOKUP(Tableau65[[#This Row],[Utilisateur]],Tableau3[[Prenoms (ID)]:[Localisation]],3,FALSE)</f>
        <v>AUDIT-CPA</v>
      </c>
      <c r="J107" t="str">
        <f>VLOOKUP(Tableau65[[#This Row],[Utilisateur]],Tableau3[[Prenoms (ID)]:[CABINET]],4,FALSE)</f>
        <v>CPA</v>
      </c>
    </row>
    <row r="108" spans="1:13" x14ac:dyDescent="0.25">
      <c r="A108" s="2">
        <v>45393</v>
      </c>
      <c r="B108" t="s">
        <v>52</v>
      </c>
      <c r="C108" s="57">
        <v>1</v>
      </c>
      <c r="D108" t="s">
        <v>49</v>
      </c>
      <c r="E108" t="s">
        <v>282</v>
      </c>
      <c r="G108" t="s">
        <v>397</v>
      </c>
      <c r="H108" t="str">
        <f>VLOOKUP(Tableau65[[#This Row],[Utilisateur]],Tableau3[[Prenoms (ID)]:[Localisation]],2,FALSE)</f>
        <v>-</v>
      </c>
      <c r="I108" t="str">
        <f>VLOOKUP(Tableau65[[#This Row],[Utilisateur]],Tableau3[[Prenoms (ID)]:[Localisation]],3,FALSE)</f>
        <v>BIRA</v>
      </c>
      <c r="J108" t="str">
        <f>VLOOKUP(Tableau65[[#This Row],[Utilisateur]],Tableau3[[Prenoms (ID)]:[CABINET]],4,FALSE)</f>
        <v>CPA</v>
      </c>
      <c r="K108" t="s">
        <v>283</v>
      </c>
      <c r="M108" t="s">
        <v>401</v>
      </c>
    </row>
    <row r="109" spans="1:13" x14ac:dyDescent="0.25">
      <c r="A109" s="2">
        <v>45393</v>
      </c>
      <c r="B109" t="s">
        <v>52</v>
      </c>
      <c r="C109" s="57">
        <v>1</v>
      </c>
      <c r="D109" t="s">
        <v>49</v>
      </c>
      <c r="G109" t="s">
        <v>402</v>
      </c>
      <c r="H109" t="str">
        <f>VLOOKUP(Tableau65[[#This Row],[Utilisateur]],Tableau3[[Prenoms (ID)]:[Localisation]],2,FALSE)</f>
        <v>Optique / Sata</v>
      </c>
      <c r="I109" t="str">
        <f>VLOOKUP(Tableau65[[#This Row],[Utilisateur]],Tableau3[[Prenoms (ID)]:[Localisation]],3,FALSE)</f>
        <v>BNI1</v>
      </c>
      <c r="J109">
        <f>VLOOKUP(Tableau65[[#This Row],[Utilisateur]],Tableau3[[Prenoms (ID)]:[CABINET]],4,FALSE)</f>
        <v>0</v>
      </c>
    </row>
    <row r="110" spans="1:13" x14ac:dyDescent="0.25">
      <c r="A110" s="2">
        <v>45394</v>
      </c>
      <c r="B110" t="s">
        <v>52</v>
      </c>
      <c r="C110" s="57">
        <v>1</v>
      </c>
      <c r="D110" t="s">
        <v>49</v>
      </c>
      <c r="G110" t="s">
        <v>403</v>
      </c>
      <c r="H110" t="str">
        <f>VLOOKUP(Tableau65[[#This Row],[Utilisateur]],Tableau3[[Prenoms (ID)]:[Localisation]],2,FALSE)</f>
        <v>Accefi</v>
      </c>
      <c r="I110" t="str">
        <f>VLOOKUP(Tableau65[[#This Row],[Utilisateur]],Tableau3[[Prenoms (ID)]:[Localisation]],3,FALSE)</f>
        <v>ACCEFI</v>
      </c>
      <c r="J110" t="str">
        <f>VLOOKUP(Tableau65[[#This Row],[Utilisateur]],Tableau3[[Prenoms (ID)]:[CABINET]],4,FALSE)</f>
        <v>CPA</v>
      </c>
      <c r="M110" t="s">
        <v>404</v>
      </c>
    </row>
    <row r="111" spans="1:13" x14ac:dyDescent="0.25">
      <c r="A111" s="2">
        <v>45397</v>
      </c>
      <c r="B111" t="s">
        <v>55</v>
      </c>
      <c r="C111" s="6">
        <v>1</v>
      </c>
      <c r="D111" t="s">
        <v>49</v>
      </c>
      <c r="H111" t="e">
        <f>VLOOKUP(Tableau65[[#This Row],[Utilisateur]],Tableau3[[Prenoms (ID)]:[Localisation]],2,FALSE)</f>
        <v>#N/A</v>
      </c>
      <c r="I111" t="e">
        <f>VLOOKUP(Tableau65[[#This Row],[Utilisateur]],Tableau3[[Prenoms (ID)]:[Localisation]],3,FALSE)</f>
        <v>#N/A</v>
      </c>
      <c r="J111" t="e">
        <f>VLOOKUP(Tableau65[[#This Row],[Utilisateur]],Tableau3[[Prenoms (ID)]:[CABINET]],4,FALSE)</f>
        <v>#N/A</v>
      </c>
    </row>
    <row r="112" spans="1:13" x14ac:dyDescent="0.25">
      <c r="A112" s="2">
        <v>45398</v>
      </c>
      <c r="B112" t="s">
        <v>56</v>
      </c>
      <c r="C112" s="6">
        <v>1</v>
      </c>
      <c r="D112" t="s">
        <v>49</v>
      </c>
      <c r="H112" t="e">
        <f>VLOOKUP(Tableau65[[#This Row],[Utilisateur]],Tableau3[[Prenoms (ID)]:[Localisation]],2,FALSE)</f>
        <v>#N/A</v>
      </c>
      <c r="I112" t="e">
        <f>VLOOKUP(Tableau65[[#This Row],[Utilisateur]],Tableau3[[Prenoms (ID)]:[Localisation]],3,FALSE)</f>
        <v>#N/A</v>
      </c>
      <c r="J112" t="e">
        <f>VLOOKUP(Tableau65[[#This Row],[Utilisateur]],Tableau3[[Prenoms (ID)]:[CABINET]],4,FALSE)</f>
        <v>#N/A</v>
      </c>
    </row>
    <row r="113" spans="1:13" x14ac:dyDescent="0.25">
      <c r="A113" s="2">
        <v>45399</v>
      </c>
      <c r="B113" t="s">
        <v>54</v>
      </c>
      <c r="C113" s="6">
        <v>1</v>
      </c>
      <c r="D113" t="s">
        <v>49</v>
      </c>
      <c r="G113" t="s">
        <v>405</v>
      </c>
      <c r="H113" t="str">
        <f>VLOOKUP(Tableau65[[#This Row],[Utilisateur]],Tableau3[[Prenoms (ID)]:[Localisation]],2,FALSE)</f>
        <v>QUALITE</v>
      </c>
      <c r="I113" t="str">
        <f>VLOOKUP(Tableau65[[#This Row],[Utilisateur]],Tableau3[[Prenoms (ID)]:[Localisation]],3,FALSE)</f>
        <v>QUALITE</v>
      </c>
      <c r="J113">
        <f>VLOOKUP(Tableau65[[#This Row],[Utilisateur]],Tableau3[[Prenoms (ID)]:[CABINET]],4,FALSE)</f>
        <v>0</v>
      </c>
      <c r="M113" t="s">
        <v>406</v>
      </c>
    </row>
    <row r="114" spans="1:13" x14ac:dyDescent="0.25">
      <c r="A114" s="2">
        <v>45399</v>
      </c>
      <c r="B114" t="s">
        <v>54</v>
      </c>
      <c r="C114" s="6">
        <v>1</v>
      </c>
      <c r="D114" t="s">
        <v>49</v>
      </c>
      <c r="G114" t="s">
        <v>407</v>
      </c>
      <c r="H114" t="str">
        <f>VLOOKUP(Tableau65[[#This Row],[Utilisateur]],Tableau3[[Prenoms (ID)]:[Localisation]],2,FALSE)</f>
        <v>QUALITE</v>
      </c>
      <c r="I114" t="str">
        <f>VLOOKUP(Tableau65[[#This Row],[Utilisateur]],Tableau3[[Prenoms (ID)]:[Localisation]],3,FALSE)</f>
        <v>CENTRE</v>
      </c>
      <c r="J114">
        <f>VLOOKUP(Tableau65[[#This Row],[Utilisateur]],Tableau3[[Prenoms (ID)]:[CABINET]],4,FALSE)</f>
        <v>0</v>
      </c>
      <c r="M114" t="s">
        <v>408</v>
      </c>
    </row>
    <row r="115" spans="1:13" x14ac:dyDescent="0.25">
      <c r="A115" s="2">
        <v>45399</v>
      </c>
      <c r="B115" t="s">
        <v>54</v>
      </c>
      <c r="C115" s="6">
        <v>1</v>
      </c>
      <c r="D115" t="s">
        <v>49</v>
      </c>
      <c r="G115" t="s">
        <v>409</v>
      </c>
      <c r="H115" t="str">
        <f>VLOOKUP(Tableau65[[#This Row],[Utilisateur]],Tableau3[[Prenoms (ID)]:[Localisation]],2,FALSE)</f>
        <v>QUALITE</v>
      </c>
      <c r="I115" t="str">
        <f>VLOOKUP(Tableau65[[#This Row],[Utilisateur]],Tableau3[[Prenoms (ID)]:[Localisation]],3,FALSE)</f>
        <v>QUALITE</v>
      </c>
      <c r="J115">
        <f>VLOOKUP(Tableau65[[#This Row],[Utilisateur]],Tableau3[[Prenoms (ID)]:[CABINET]],4,FALSE)</f>
        <v>0</v>
      </c>
      <c r="M115" t="s">
        <v>410</v>
      </c>
    </row>
    <row r="116" spans="1:13" x14ac:dyDescent="0.25">
      <c r="A116" s="2">
        <v>45399</v>
      </c>
      <c r="B116" t="s">
        <v>52</v>
      </c>
      <c r="C116" s="57">
        <v>1</v>
      </c>
      <c r="D116" t="s">
        <v>49</v>
      </c>
      <c r="G116" t="s">
        <v>411</v>
      </c>
      <c r="H116" t="str">
        <f>VLOOKUP(Tableau65[[#This Row],[Utilisateur]],Tableau3[[Prenoms (ID)]:[Localisation]],2,FALSE)</f>
        <v>Apprenti</v>
      </c>
      <c r="I116" t="str">
        <f>VLOOKUP(Tableau65[[#This Row],[Utilisateur]],Tableau3[[Prenoms (ID)]:[Localisation]],3,FALSE)</f>
        <v>-</v>
      </c>
      <c r="J116">
        <f>VLOOKUP(Tableau65[[#This Row],[Utilisateur]],Tableau3[[Prenoms (ID)]:[CABINET]],4,FALSE)</f>
        <v>0</v>
      </c>
      <c r="M116" t="s">
        <v>412</v>
      </c>
    </row>
    <row r="117" spans="1:13" x14ac:dyDescent="0.25">
      <c r="A117" s="2">
        <v>45400</v>
      </c>
      <c r="B117" t="s">
        <v>52</v>
      </c>
      <c r="C117" s="57">
        <v>1</v>
      </c>
      <c r="D117" t="s">
        <v>49</v>
      </c>
      <c r="G117" t="s">
        <v>413</v>
      </c>
      <c r="H117" t="str">
        <f>VLOOKUP(Tableau65[[#This Row],[Utilisateur]],Tableau3[[Prenoms (ID)]:[Localisation]],2,FALSE)</f>
        <v>Ravaka</v>
      </c>
      <c r="I117" t="str">
        <f>VLOOKUP(Tableau65[[#This Row],[Utilisateur]],Tableau3[[Prenoms (ID)]:[Localisation]],3,FALSE)</f>
        <v>QUALITE</v>
      </c>
      <c r="J117">
        <f>VLOOKUP(Tableau65[[#This Row],[Utilisateur]],Tableau3[[Prenoms (ID)]:[CABINET]],4,FALSE)</f>
        <v>0</v>
      </c>
    </row>
    <row r="118" spans="1:13" x14ac:dyDescent="0.25">
      <c r="A118" s="2">
        <v>45400</v>
      </c>
      <c r="B118" t="s">
        <v>52</v>
      </c>
      <c r="C118" s="57">
        <v>1</v>
      </c>
      <c r="D118" t="s">
        <v>49</v>
      </c>
      <c r="G118" t="s">
        <v>368</v>
      </c>
      <c r="H118" t="str">
        <f>VLOOKUP(Tableau65[[#This Row],[Utilisateur]],Tableau3[[Prenoms (ID)]:[Localisation]],2,FALSE)</f>
        <v>Optique / Sata</v>
      </c>
      <c r="I118" t="str">
        <f>VLOOKUP(Tableau65[[#This Row],[Utilisateur]],Tableau3[[Prenoms (ID)]:[Localisation]],3,FALSE)</f>
        <v>BNI1</v>
      </c>
      <c r="J118" t="str">
        <f>VLOOKUP(Tableau65[[#This Row],[Utilisateur]],Tableau3[[Prenoms (ID)]:[CABINET]],4,FALSE)</f>
        <v>RFC</v>
      </c>
    </row>
    <row r="119" spans="1:13" x14ac:dyDescent="0.25">
      <c r="A119" s="2">
        <v>45400</v>
      </c>
      <c r="B119" t="s">
        <v>52</v>
      </c>
      <c r="C119" s="57">
        <v>1</v>
      </c>
      <c r="D119" t="s">
        <v>49</v>
      </c>
      <c r="G119" t="s">
        <v>343</v>
      </c>
      <c r="H119" t="str">
        <f>VLOOKUP(Tableau65[[#This Row],[Utilisateur]],Tableau3[[Prenoms (ID)]:[Localisation]],2,FALSE)</f>
        <v>Optique / Sata</v>
      </c>
      <c r="I119" t="str">
        <f>VLOOKUP(Tableau65[[#This Row],[Utilisateur]],Tableau3[[Prenoms (ID)]:[Localisation]],3,FALSE)</f>
        <v>BNI1</v>
      </c>
      <c r="J119" t="str">
        <f>VLOOKUP(Tableau65[[#This Row],[Utilisateur]],Tableau3[[Prenoms (ID)]:[CABINET]],4,FALSE)</f>
        <v>RFC</v>
      </c>
    </row>
    <row r="120" spans="1:13" x14ac:dyDescent="0.25">
      <c r="A120" s="2">
        <v>45400</v>
      </c>
      <c r="B120" t="s">
        <v>52</v>
      </c>
      <c r="C120" s="57">
        <v>1</v>
      </c>
      <c r="D120" t="s">
        <v>49</v>
      </c>
      <c r="G120" t="s">
        <v>414</v>
      </c>
      <c r="H120" t="str">
        <f>VLOOKUP(Tableau65[[#This Row],[Utilisateur]],Tableau3[[Prenoms (ID)]:[Localisation]],2,FALSE)</f>
        <v>Optique / Sata</v>
      </c>
      <c r="I120" t="str">
        <f>VLOOKUP(Tableau65[[#This Row],[Utilisateur]],Tableau3[[Prenoms (ID)]:[Localisation]],3,FALSE)</f>
        <v>BNI1</v>
      </c>
      <c r="J120" t="str">
        <f>VLOOKUP(Tableau65[[#This Row],[Utilisateur]],Tableau3[[Prenoms (ID)]:[CABINET]],4,FALSE)</f>
        <v>RFC</v>
      </c>
    </row>
    <row r="121" spans="1:13" x14ac:dyDescent="0.25">
      <c r="A121" s="2">
        <v>45401</v>
      </c>
      <c r="B121" t="s">
        <v>34</v>
      </c>
      <c r="C121" s="6">
        <v>1</v>
      </c>
      <c r="D121" t="s">
        <v>49</v>
      </c>
      <c r="G121" t="s">
        <v>415</v>
      </c>
      <c r="H121" t="str">
        <f>VLOOKUP(Tableau65[[#This Row],[Utilisateur]],Tableau3[[Prenoms (ID)]:[Localisation]],2,FALSE)</f>
        <v>Eccentive</v>
      </c>
      <c r="I121" t="str">
        <f>VLOOKUP(Tableau65[[#This Row],[Utilisateur]],Tableau3[[Prenoms (ID)]:[Localisation]],3,FALSE)</f>
        <v>LMNP</v>
      </c>
      <c r="J121">
        <f>VLOOKUP(Tableau65[[#This Row],[Utilisateur]],Tableau3[[Prenoms (ID)]:[CABINET]],4,FALSE)</f>
        <v>0</v>
      </c>
    </row>
    <row r="122" spans="1:13" x14ac:dyDescent="0.25">
      <c r="A122" s="2">
        <v>45401</v>
      </c>
      <c r="B122" t="s">
        <v>58</v>
      </c>
      <c r="C122" s="6">
        <v>1</v>
      </c>
      <c r="D122" t="s">
        <v>49</v>
      </c>
      <c r="E122" t="s">
        <v>416</v>
      </c>
      <c r="G122" t="s">
        <v>417</v>
      </c>
      <c r="H122">
        <f>VLOOKUP(Tableau65[[#This Row],[Utilisateur]],Tableau3[[Prenoms (ID)]:[Localisation]],2,FALSE)</f>
        <v>0</v>
      </c>
      <c r="I122">
        <f>VLOOKUP(Tableau65[[#This Row],[Utilisateur]],Tableau3[[Prenoms (ID)]:[Localisation]],3,FALSE)</f>
        <v>0</v>
      </c>
      <c r="J122">
        <f>VLOOKUP(Tableau65[[#This Row],[Utilisateur]],Tableau3[[Prenoms (ID)]:[CABINET]],4,FALSE)</f>
        <v>0</v>
      </c>
    </row>
    <row r="123" spans="1:13" x14ac:dyDescent="0.25">
      <c r="A123" s="2">
        <v>45401</v>
      </c>
      <c r="B123" t="s">
        <v>61</v>
      </c>
      <c r="C123" s="6">
        <v>1</v>
      </c>
      <c r="D123" t="s">
        <v>49</v>
      </c>
      <c r="G123" t="s">
        <v>252</v>
      </c>
      <c r="H123">
        <f>VLOOKUP(Tableau65[[#This Row],[Utilisateur]],Tableau3[[Prenoms (ID)]:[Localisation]],2,FALSE)</f>
        <v>0</v>
      </c>
      <c r="I123" t="str">
        <f>VLOOKUP(Tableau65[[#This Row],[Utilisateur]],Tableau3[[Prenoms (ID)]:[Localisation]],3,FALSE)</f>
        <v>BNI</v>
      </c>
      <c r="J123" t="str">
        <f>VLOOKUP(Tableau65[[#This Row],[Utilisateur]],Tableau3[[Prenoms (ID)]:[CABINET]],4,FALSE)</f>
        <v>RFC</v>
      </c>
    </row>
    <row r="124" spans="1:13" x14ac:dyDescent="0.25">
      <c r="A124" s="2">
        <v>45401</v>
      </c>
      <c r="B124" t="s">
        <v>65</v>
      </c>
      <c r="C124" s="6">
        <v>2</v>
      </c>
      <c r="D124" t="s">
        <v>15</v>
      </c>
      <c r="G124" t="s">
        <v>66</v>
      </c>
      <c r="H124">
        <f>VLOOKUP(Tableau65[[#This Row],[Utilisateur]],Tableau3[[Prenoms (ID)]:[Localisation]],2,FALSE)</f>
        <v>0</v>
      </c>
      <c r="I124">
        <f>VLOOKUP(Tableau65[[#This Row],[Utilisateur]],Tableau3[[Prenoms (ID)]:[Localisation]],3,FALSE)</f>
        <v>0</v>
      </c>
      <c r="J124">
        <f>VLOOKUP(Tableau65[[#This Row],[Utilisateur]],Tableau3[[Prenoms (ID)]:[CABINET]],4,FALSE)</f>
        <v>0</v>
      </c>
    </row>
    <row r="125" spans="1:13" x14ac:dyDescent="0.25">
      <c r="A125" s="2">
        <v>45401</v>
      </c>
      <c r="B125" t="s">
        <v>34</v>
      </c>
      <c r="C125" s="6">
        <v>2</v>
      </c>
      <c r="D125" t="s">
        <v>49</v>
      </c>
      <c r="G125" t="s">
        <v>68</v>
      </c>
      <c r="H125" t="str">
        <f>VLOOKUP(Tableau65[[#This Row],[Utilisateur]],Tableau3[[Prenoms (ID)]:[Localisation]],2,FALSE)</f>
        <v>Administration</v>
      </c>
      <c r="I125">
        <f>VLOOKUP(Tableau65[[#This Row],[Utilisateur]],Tableau3[[Prenoms (ID)]:[Localisation]],3,FALSE)</f>
        <v>0</v>
      </c>
      <c r="J125">
        <f>VLOOKUP(Tableau65[[#This Row],[Utilisateur]],Tableau3[[Prenoms (ID)]:[CABINET]],4,FALSE)</f>
        <v>0</v>
      </c>
    </row>
    <row r="126" spans="1:13" x14ac:dyDescent="0.25">
      <c r="A126" s="2">
        <v>45401</v>
      </c>
      <c r="B126" t="s">
        <v>52</v>
      </c>
      <c r="C126" s="57">
        <v>1</v>
      </c>
      <c r="D126" t="s">
        <v>49</v>
      </c>
      <c r="G126" t="s">
        <v>418</v>
      </c>
      <c r="H126" t="str">
        <f>VLOOKUP(Tableau65[[#This Row],[Utilisateur]],Tableau3[[Prenoms (ID)]:[Localisation]],2,FALSE)</f>
        <v>Audit CPA</v>
      </c>
      <c r="I126" t="str">
        <f>VLOOKUP(Tableau65[[#This Row],[Utilisateur]],Tableau3[[Prenoms (ID)]:[Localisation]],3,FALSE)</f>
        <v>AUDIT-CPA</v>
      </c>
      <c r="J126" t="str">
        <f>VLOOKUP(Tableau65[[#This Row],[Utilisateur]],Tableau3[[Prenoms (ID)]:[CABINET]],4,FALSE)</f>
        <v>CPA</v>
      </c>
    </row>
    <row r="127" spans="1:13" x14ac:dyDescent="0.25">
      <c r="A127" s="2">
        <v>45401</v>
      </c>
      <c r="B127" t="s">
        <v>52</v>
      </c>
      <c r="C127" s="57">
        <v>1</v>
      </c>
      <c r="D127" t="s">
        <v>49</v>
      </c>
      <c r="G127" t="s">
        <v>419</v>
      </c>
      <c r="H127" t="str">
        <f>VLOOKUP(Tableau65[[#This Row],[Utilisateur]],Tableau3[[Prenoms (ID)]:[Localisation]],2,FALSE)</f>
        <v>Audit CPA</v>
      </c>
      <c r="I127" t="str">
        <f>VLOOKUP(Tableau65[[#This Row],[Utilisateur]],Tableau3[[Prenoms (ID)]:[Localisation]],3,FALSE)</f>
        <v>AUDIT-CPA</v>
      </c>
      <c r="J127" t="str">
        <f>VLOOKUP(Tableau65[[#This Row],[Utilisateur]],Tableau3[[Prenoms (ID)]:[CABINET]],4,FALSE)</f>
        <v>CPA</v>
      </c>
    </row>
    <row r="128" spans="1:13" x14ac:dyDescent="0.25">
      <c r="A128" s="2">
        <v>45401</v>
      </c>
      <c r="B128" t="s">
        <v>52</v>
      </c>
      <c r="C128" s="57">
        <v>1</v>
      </c>
      <c r="D128" t="s">
        <v>49</v>
      </c>
      <c r="G128" t="s">
        <v>420</v>
      </c>
      <c r="H128" t="str">
        <f>VLOOKUP(Tableau65[[#This Row],[Utilisateur]],Tableau3[[Prenoms (ID)]:[Localisation]],2,FALSE)</f>
        <v>RECCI / Njato Be</v>
      </c>
      <c r="I128" t="str">
        <f>VLOOKUP(Tableau65[[#This Row],[Utilisateur]],Tableau3[[Prenoms (ID)]:[Localisation]],3,FALSE)</f>
        <v>BNI2</v>
      </c>
      <c r="J128">
        <f>VLOOKUP(Tableau65[[#This Row],[Utilisateur]],Tableau3[[Prenoms (ID)]:[CABINET]],4,FALSE)</f>
        <v>0</v>
      </c>
    </row>
    <row r="129" spans="1:13" x14ac:dyDescent="0.25">
      <c r="A129" s="2">
        <v>45404</v>
      </c>
      <c r="B129" t="s">
        <v>70</v>
      </c>
      <c r="C129" s="6">
        <v>1</v>
      </c>
      <c r="D129" t="s">
        <v>49</v>
      </c>
      <c r="G129" t="s">
        <v>71</v>
      </c>
      <c r="H129">
        <f>VLOOKUP(Tableau65[[#This Row],[Utilisateur]],Tableau3[[Prenoms (ID)]:[Localisation]],2,FALSE)</f>
        <v>0</v>
      </c>
      <c r="I129" t="str">
        <f>VLOOKUP(Tableau65[[#This Row],[Utilisateur]],Tableau3[[Prenoms (ID)]:[Localisation]],3,FALSE)</f>
        <v>MADAFIT</v>
      </c>
      <c r="J129" t="str">
        <f>VLOOKUP(Tableau65[[#This Row],[Utilisateur]],Tableau3[[Prenoms (ID)]:[CABINET]],4,FALSE)</f>
        <v>CPA</v>
      </c>
    </row>
    <row r="130" spans="1:13" x14ac:dyDescent="0.25">
      <c r="A130" s="2">
        <v>45404</v>
      </c>
      <c r="B130" t="s">
        <v>52</v>
      </c>
      <c r="C130" s="57">
        <v>1</v>
      </c>
      <c r="D130" t="s">
        <v>49</v>
      </c>
      <c r="G130" t="s">
        <v>421</v>
      </c>
      <c r="H130" t="str">
        <f>VLOOKUP(Tableau65[[#This Row],[Utilisateur]],Tableau3[[Prenoms (ID)]:[Localisation]],2,FALSE)</f>
        <v>Info/Dev</v>
      </c>
      <c r="I130" t="str">
        <f>VLOOKUP(Tableau65[[#This Row],[Utilisateur]],Tableau3[[Prenoms (ID)]:[Localisation]],3,FALSE)</f>
        <v>Informatique</v>
      </c>
      <c r="J130">
        <f>VLOOKUP(Tableau65[[#This Row],[Utilisateur]],Tableau3[[Prenoms (ID)]:[CABINET]],4,FALSE)</f>
        <v>0</v>
      </c>
    </row>
    <row r="131" spans="1:13" x14ac:dyDescent="0.25">
      <c r="A131" s="2">
        <v>45404</v>
      </c>
      <c r="B131" t="s">
        <v>52</v>
      </c>
      <c r="C131" s="57">
        <v>1</v>
      </c>
      <c r="D131" t="s">
        <v>49</v>
      </c>
      <c r="G131" t="s">
        <v>395</v>
      </c>
      <c r="H131" t="str">
        <f>VLOOKUP(Tableau65[[#This Row],[Utilisateur]],Tableau3[[Prenoms (ID)]:[Localisation]],2,FALSE)</f>
        <v>RECCI SAV</v>
      </c>
      <c r="I131" t="str">
        <f>VLOOKUP(Tableau65[[#This Row],[Utilisateur]],Tableau3[[Prenoms (ID)]:[Localisation]],3,FALSE)</f>
        <v>BNI2</v>
      </c>
      <c r="J131">
        <f>VLOOKUP(Tableau65[[#This Row],[Utilisateur]],Tableau3[[Prenoms (ID)]:[CABINET]],4,FALSE)</f>
        <v>0</v>
      </c>
    </row>
    <row r="132" spans="1:13" x14ac:dyDescent="0.25">
      <c r="A132" s="61">
        <v>45387</v>
      </c>
      <c r="B132" t="s">
        <v>24</v>
      </c>
      <c r="C132" s="6">
        <v>1</v>
      </c>
      <c r="D132" t="s">
        <v>49</v>
      </c>
      <c r="G132" t="s">
        <v>422</v>
      </c>
      <c r="H132" s="35" t="str">
        <f>VLOOKUP(Tableau65[[#This Row],[Utilisateur]],Tableau3[[Prenoms (ID)]:[Localisation]],2,FALSE)</f>
        <v>Optique / Mirado</v>
      </c>
      <c r="I132" s="35" t="str">
        <f>VLOOKUP(Tableau65[[#This Row],[Utilisateur]],Tableau3[[Prenoms (ID)]:[Localisation]],3,FALSE)</f>
        <v>BNI1</v>
      </c>
      <c r="J132" s="35">
        <f>VLOOKUP(Tableau65[[#This Row],[Utilisateur]],Tableau3[[Prenoms (ID)]:[CABINET]],4,FALSE)</f>
        <v>0</v>
      </c>
    </row>
    <row r="133" spans="1:13" x14ac:dyDescent="0.25">
      <c r="A133" s="2">
        <v>45406</v>
      </c>
      <c r="B133" t="s">
        <v>52</v>
      </c>
      <c r="C133" s="57">
        <v>1</v>
      </c>
      <c r="D133" t="s">
        <v>49</v>
      </c>
      <c r="G133" t="s">
        <v>423</v>
      </c>
      <c r="H133" t="str">
        <f>VLOOKUP(Tableau65[[#This Row],[Utilisateur]],Tableau3[[Prenoms (ID)]:[Localisation]],2,FALSE)</f>
        <v>Apprenti</v>
      </c>
      <c r="I133" t="str">
        <f>VLOOKUP(Tableau65[[#This Row],[Utilisateur]],Tableau3[[Prenoms (ID)]:[Localisation]],3,FALSE)</f>
        <v>BIRA</v>
      </c>
      <c r="J133" t="str">
        <f>VLOOKUP(Tableau65[[#This Row],[Utilisateur]],Tableau3[[Prenoms (ID)]:[CABINET]],4,FALSE)</f>
        <v>CPA</v>
      </c>
      <c r="K133" t="s">
        <v>283</v>
      </c>
      <c r="M133" t="s">
        <v>424</v>
      </c>
    </row>
    <row r="134" spans="1:13" x14ac:dyDescent="0.25">
      <c r="A134" s="2">
        <v>45406</v>
      </c>
      <c r="B134" t="s">
        <v>52</v>
      </c>
      <c r="C134" s="57">
        <v>1</v>
      </c>
      <c r="D134" t="s">
        <v>49</v>
      </c>
      <c r="G134" t="s">
        <v>425</v>
      </c>
      <c r="H134" t="str">
        <f>VLOOKUP(Tableau65[[#This Row],[Utilisateur]],Tableau3[[Prenoms (ID)]:[Localisation]],2,FALSE)</f>
        <v>Accefi</v>
      </c>
      <c r="I134" t="str">
        <f>VLOOKUP(Tableau65[[#This Row],[Utilisateur]],Tableau3[[Prenoms (ID)]:[Localisation]],3,FALSE)</f>
        <v>ACCEFI</v>
      </c>
      <c r="J134" t="str">
        <f>VLOOKUP(Tableau65[[#This Row],[Utilisateur]],Tableau3[[Prenoms (ID)]:[CABINET]],4,FALSE)</f>
        <v>CPA</v>
      </c>
    </row>
    <row r="135" spans="1:13" x14ac:dyDescent="0.25">
      <c r="A135" s="2">
        <v>45407</v>
      </c>
      <c r="B135" t="s">
        <v>64</v>
      </c>
      <c r="C135" s="6">
        <v>1</v>
      </c>
      <c r="D135" t="s">
        <v>49</v>
      </c>
      <c r="E135" t="s">
        <v>426</v>
      </c>
      <c r="G135" t="s">
        <v>427</v>
      </c>
      <c r="H135" t="str">
        <f>VLOOKUP(Tableau65[[#This Row],[Utilisateur]],Tableau3[[Prenoms (ID)]:[Localisation]],2,FALSE)</f>
        <v>SANISPHER</v>
      </c>
      <c r="I135" t="str">
        <f>VLOOKUP(Tableau65[[#This Row],[Utilisateur]],Tableau3[[Prenoms (ID)]:[Localisation]],3,FALSE)</f>
        <v>QUALITE</v>
      </c>
      <c r="J135">
        <f>VLOOKUP(Tableau65[[#This Row],[Utilisateur]],Tableau3[[Prenoms (ID)]:[CABINET]],4,FALSE)</f>
        <v>0</v>
      </c>
    </row>
    <row r="136" spans="1:13" x14ac:dyDescent="0.25">
      <c r="A136" s="2">
        <v>45410</v>
      </c>
      <c r="B136" t="s">
        <v>64</v>
      </c>
      <c r="C136" s="6">
        <v>1</v>
      </c>
      <c r="D136" t="s">
        <v>49</v>
      </c>
      <c r="G136" t="s">
        <v>428</v>
      </c>
      <c r="H136" s="35" t="str">
        <f>VLOOKUP(Tableau65[[#This Row],[Utilisateur]],Tableau3[[Prenoms (ID)]:[Localisation]],2,FALSE)</f>
        <v>Apprenti</v>
      </c>
      <c r="I136" s="35" t="str">
        <f>VLOOKUP(Tableau65[[#This Row],[Utilisateur]],Tableau3[[Prenoms (ID)]:[Localisation]],3,FALSE)</f>
        <v>-</v>
      </c>
      <c r="J136" s="35">
        <f>VLOOKUP(Tableau65[[#This Row],[Utilisateur]],Tableau3[[Prenoms (ID)]:[CABINET]],4,FALSE)</f>
        <v>0</v>
      </c>
    </row>
    <row r="137" spans="1:13" x14ac:dyDescent="0.25">
      <c r="A137" s="2">
        <v>45410</v>
      </c>
      <c r="B137" t="s">
        <v>64</v>
      </c>
      <c r="C137" s="6">
        <v>1</v>
      </c>
      <c r="D137" t="s">
        <v>49</v>
      </c>
      <c r="G137" t="s">
        <v>429</v>
      </c>
      <c r="H137" s="35" t="str">
        <f>VLOOKUP(Tableau65[[#This Row],[Utilisateur]],Tableau3[[Prenoms (ID)]:[Localisation]],2,FALSE)</f>
        <v>Audit CPA</v>
      </c>
      <c r="I137" s="35" t="str">
        <f>VLOOKUP(Tableau65[[#This Row],[Utilisateur]],Tableau3[[Prenoms (ID)]:[Localisation]],3,FALSE)</f>
        <v>MADAFIT</v>
      </c>
      <c r="J137" s="35" t="str">
        <f>VLOOKUP(Tableau65[[#This Row],[Utilisateur]],Tableau3[[Prenoms (ID)]:[CABINET]],4,FALSE)</f>
        <v>CPA</v>
      </c>
    </row>
    <row r="138" spans="1:13" x14ac:dyDescent="0.25">
      <c r="A138" s="2">
        <v>45392</v>
      </c>
      <c r="B138" t="s">
        <v>24</v>
      </c>
      <c r="C138" s="6">
        <v>1</v>
      </c>
      <c r="D138" t="s">
        <v>49</v>
      </c>
      <c r="G138" t="s">
        <v>430</v>
      </c>
      <c r="H138" s="35" t="str">
        <f>VLOOKUP(Tableau65[[#This Row],[Utilisateur]],Tableau3[[Prenoms (ID)]:[Localisation]],2,FALSE)</f>
        <v>Audit CPA</v>
      </c>
      <c r="I138" s="35" t="str">
        <f>VLOOKUP(Tableau65[[#This Row],[Utilisateur]],Tableau3[[Prenoms (ID)]:[Localisation]],3,FALSE)</f>
        <v>AUDIT-CPA</v>
      </c>
      <c r="J138" s="35" t="str">
        <f>VLOOKUP(Tableau65[[#This Row],[Utilisateur]],Tableau3[[Prenoms (ID)]:[CABINET]],4,FALSE)</f>
        <v>CPA</v>
      </c>
    </row>
    <row r="139" spans="1:13" x14ac:dyDescent="0.25">
      <c r="A139" s="2">
        <v>45412</v>
      </c>
      <c r="B139" t="s">
        <v>52</v>
      </c>
      <c r="C139" s="57">
        <v>1</v>
      </c>
      <c r="D139" t="s">
        <v>49</v>
      </c>
      <c r="G139" t="s">
        <v>431</v>
      </c>
      <c r="H139" t="str">
        <f>VLOOKUP(Tableau65[[#This Row],[Utilisateur]],Tableau3[[Prenoms (ID)]:[Localisation]],2,FALSE)</f>
        <v>-</v>
      </c>
      <c r="I139" t="str">
        <f>VLOOKUP(Tableau65[[#This Row],[Utilisateur]],Tableau3[[Prenoms (ID)]:[Localisation]],3,FALSE)</f>
        <v>BIRA</v>
      </c>
      <c r="J139" t="str">
        <f>VLOOKUP(Tableau65[[#This Row],[Utilisateur]],Tableau3[[Prenoms (ID)]:[CABINET]],4,FALSE)</f>
        <v>CPA</v>
      </c>
      <c r="K139" t="s">
        <v>283</v>
      </c>
      <c r="M139" t="s">
        <v>432</v>
      </c>
    </row>
    <row r="140" spans="1:13" x14ac:dyDescent="0.25">
      <c r="A140" s="2">
        <v>45412</v>
      </c>
      <c r="B140" t="s">
        <v>52</v>
      </c>
      <c r="C140" s="57">
        <v>1</v>
      </c>
      <c r="D140" t="s">
        <v>49</v>
      </c>
      <c r="G140" t="s">
        <v>433</v>
      </c>
      <c r="H140" t="str">
        <f>VLOOKUP(Tableau65[[#This Row],[Utilisateur]],Tableau3[[Prenoms (ID)]:[Localisation]],2,FALSE)</f>
        <v>Audit CPA</v>
      </c>
      <c r="I140" t="str">
        <f>VLOOKUP(Tableau65[[#This Row],[Utilisateur]],Tableau3[[Prenoms (ID)]:[Localisation]],3,FALSE)</f>
        <v>AUDIT-CPA</v>
      </c>
      <c r="J140" t="str">
        <f>VLOOKUP(Tableau65[[#This Row],[Utilisateur]],Tableau3[[Prenoms (ID)]:[CABINET]],4,FALSE)</f>
        <v>CPA</v>
      </c>
    </row>
    <row r="141" spans="1:13" x14ac:dyDescent="0.25">
      <c r="A141" s="2">
        <v>45412</v>
      </c>
      <c r="B141" t="s">
        <v>52</v>
      </c>
      <c r="C141" s="57">
        <v>1</v>
      </c>
      <c r="D141" t="s">
        <v>49</v>
      </c>
      <c r="G141" t="s">
        <v>434</v>
      </c>
      <c r="H141" t="str">
        <f>VLOOKUP(Tableau65[[#This Row],[Utilisateur]],Tableau3[[Prenoms (ID)]:[Localisation]],2,FALSE)</f>
        <v>Optique / Sata</v>
      </c>
      <c r="I141" t="str">
        <f>VLOOKUP(Tableau65[[#This Row],[Utilisateur]],Tableau3[[Prenoms (ID)]:[Localisation]],3,FALSE)</f>
        <v>BNI1</v>
      </c>
      <c r="J141">
        <f>VLOOKUP(Tableau65[[#This Row],[Utilisateur]],Tableau3[[Prenoms (ID)]:[CABINET]],4,FALSE)</f>
        <v>0</v>
      </c>
    </row>
    <row r="142" spans="1:13" x14ac:dyDescent="0.25">
      <c r="A142" s="2">
        <v>45413</v>
      </c>
      <c r="B142" t="s">
        <v>52</v>
      </c>
      <c r="C142" s="57">
        <v>1</v>
      </c>
      <c r="D142" t="s">
        <v>49</v>
      </c>
      <c r="G142" t="s">
        <v>435</v>
      </c>
      <c r="H142" s="35" t="str">
        <f>VLOOKUP(Tableau65[[#This Row],[Utilisateur]],Tableau3[[Prenoms (ID)]:[Localisation]],2,FALSE)</f>
        <v>Optique / Mirado</v>
      </c>
      <c r="I142" s="35" t="str">
        <f>VLOOKUP(Tableau65[[#This Row],[Utilisateur]],Tableau3[[Prenoms (ID)]:[Localisation]],3,FALSE)</f>
        <v>BNI1</v>
      </c>
      <c r="J142" s="35">
        <f>VLOOKUP(Tableau65[[#This Row],[Utilisateur]],Tableau3[[Prenoms (ID)]:[CABINET]],4,FALSE)</f>
        <v>0</v>
      </c>
    </row>
    <row r="143" spans="1:13" x14ac:dyDescent="0.25">
      <c r="A143" s="2">
        <v>45414</v>
      </c>
      <c r="B143" t="s">
        <v>139</v>
      </c>
      <c r="C143" s="6">
        <v>1</v>
      </c>
      <c r="D143" t="s">
        <v>49</v>
      </c>
      <c r="G143" t="s">
        <v>436</v>
      </c>
      <c r="H143" t="str">
        <f>VLOOKUP(Tableau65[[#This Row],[Utilisateur]],Tableau3[[Prenoms (ID)]:[Localisation]],2,FALSE)</f>
        <v>Impulsa</v>
      </c>
      <c r="I143" t="str">
        <f>VLOOKUP(Tableau65[[#This Row],[Utilisateur]],Tableau3[[Prenoms (ID)]:[Localisation]],3,FALSE)</f>
        <v>BNI2</v>
      </c>
      <c r="J143">
        <f>VLOOKUP(Tableau65[[#This Row],[Utilisateur]],Tableau3[[Prenoms (ID)]:[CABINET]],4,FALSE)</f>
        <v>0</v>
      </c>
    </row>
    <row r="144" spans="1:13" x14ac:dyDescent="0.25">
      <c r="A144" s="2">
        <v>45414</v>
      </c>
      <c r="B144" t="s">
        <v>139</v>
      </c>
      <c r="C144" s="6">
        <v>5</v>
      </c>
      <c r="D144" t="s">
        <v>49</v>
      </c>
      <c r="G144" t="s">
        <v>62</v>
      </c>
      <c r="H144">
        <f>VLOOKUP(Tableau65[[#This Row],[Utilisateur]],Tableau3[[Prenoms (ID)]:[Localisation]],2,FALSE)</f>
        <v>0</v>
      </c>
      <c r="I144" t="str">
        <f>VLOOKUP(Tableau65[[#This Row],[Utilisateur]],Tableau3[[Prenoms (ID)]:[Localisation]],3,FALSE)</f>
        <v>BNI</v>
      </c>
      <c r="J144" t="str">
        <f>VLOOKUP(Tableau65[[#This Row],[Utilisateur]],Tableau3[[Prenoms (ID)]:[CABINET]],4,FALSE)</f>
        <v>CPA</v>
      </c>
      <c r="L144" t="s">
        <v>288</v>
      </c>
      <c r="M144" t="s">
        <v>289</v>
      </c>
    </row>
    <row r="145" spans="1:13" x14ac:dyDescent="0.25">
      <c r="A145" s="2">
        <v>45414</v>
      </c>
      <c r="B145" t="s">
        <v>52</v>
      </c>
      <c r="C145" s="57">
        <v>1</v>
      </c>
      <c r="D145" t="s">
        <v>49</v>
      </c>
      <c r="G145" t="s">
        <v>437</v>
      </c>
      <c r="H145" t="str">
        <f>VLOOKUP(Tableau65[[#This Row],[Utilisateur]],Tableau3[[Prenoms (ID)]:[Localisation]],2,FALSE)</f>
        <v>NE2C</v>
      </c>
      <c r="I145" t="str">
        <f>VLOOKUP(Tableau65[[#This Row],[Utilisateur]],Tableau3[[Prenoms (ID)]:[Localisation]],3,FALSE)</f>
        <v>ARSAC</v>
      </c>
      <c r="J145">
        <f>VLOOKUP(Tableau65[[#This Row],[Utilisateur]],Tableau3[[Prenoms (ID)]:[CABINET]],4,FALSE)</f>
        <v>0</v>
      </c>
    </row>
    <row r="146" spans="1:13" x14ac:dyDescent="0.25">
      <c r="A146" s="2">
        <v>45414</v>
      </c>
      <c r="B146" t="s">
        <v>52</v>
      </c>
      <c r="C146" s="57">
        <v>1</v>
      </c>
      <c r="D146" t="s">
        <v>49</v>
      </c>
      <c r="G146" t="s">
        <v>346</v>
      </c>
      <c r="H146" t="str">
        <f>VLOOKUP(Tableau65[[#This Row],[Utilisateur]],Tableau3[[Prenoms (ID)]:[Localisation]],2,FALSE)</f>
        <v>Optique / Sata</v>
      </c>
      <c r="I146" t="str">
        <f>VLOOKUP(Tableau65[[#This Row],[Utilisateur]],Tableau3[[Prenoms (ID)]:[Localisation]],3,FALSE)</f>
        <v>BNI1</v>
      </c>
      <c r="J146">
        <f>VLOOKUP(Tableau65[[#This Row],[Utilisateur]],Tableau3[[Prenoms (ID)]:[CABINET]],4,FALSE)</f>
        <v>0</v>
      </c>
    </row>
    <row r="147" spans="1:13" x14ac:dyDescent="0.25">
      <c r="A147" s="2">
        <v>45414</v>
      </c>
      <c r="B147" t="s">
        <v>52</v>
      </c>
      <c r="C147" s="57">
        <v>1</v>
      </c>
      <c r="D147" t="s">
        <v>49</v>
      </c>
      <c r="G147" t="s">
        <v>438</v>
      </c>
      <c r="H147" t="str">
        <f>VLOOKUP(Tableau65[[#This Row],[Utilisateur]],Tableau3[[Prenoms (ID)]:[Localisation]],2,FALSE)</f>
        <v>Optique / Sata</v>
      </c>
      <c r="I147" t="str">
        <f>VLOOKUP(Tableau65[[#This Row],[Utilisateur]],Tableau3[[Prenoms (ID)]:[Localisation]],3,FALSE)</f>
        <v>BNI1</v>
      </c>
      <c r="J147">
        <f>VLOOKUP(Tableau65[[#This Row],[Utilisateur]],Tableau3[[Prenoms (ID)]:[CABINET]],4,FALSE)</f>
        <v>0</v>
      </c>
    </row>
    <row r="148" spans="1:13" x14ac:dyDescent="0.25">
      <c r="A148" s="2">
        <v>45414</v>
      </c>
      <c r="B148" t="s">
        <v>52</v>
      </c>
      <c r="C148" s="57">
        <v>1</v>
      </c>
      <c r="D148" t="s">
        <v>49</v>
      </c>
      <c r="G148" t="s">
        <v>334</v>
      </c>
      <c r="H148" t="str">
        <f>VLOOKUP(Tableau65[[#This Row],[Utilisateur]],Tableau3[[Prenoms (ID)]:[Localisation]],2,FALSE)</f>
        <v>Optique / Mirado</v>
      </c>
      <c r="I148" t="str">
        <f>VLOOKUP(Tableau65[[#This Row],[Utilisateur]],Tableau3[[Prenoms (ID)]:[Localisation]],3,FALSE)</f>
        <v>BNI1</v>
      </c>
      <c r="J148">
        <f>VLOOKUP(Tableau65[[#This Row],[Utilisateur]],Tableau3[[Prenoms (ID)]:[CABINET]],4,FALSE)</f>
        <v>0</v>
      </c>
    </row>
    <row r="149" spans="1:13" x14ac:dyDescent="0.25">
      <c r="A149" s="2">
        <v>45418</v>
      </c>
      <c r="B149" t="s">
        <v>52</v>
      </c>
      <c r="C149" s="57">
        <v>1</v>
      </c>
      <c r="D149" t="s">
        <v>49</v>
      </c>
      <c r="G149" t="s">
        <v>367</v>
      </c>
      <c r="H149" t="str">
        <f>VLOOKUP(Tableau65[[#This Row],[Utilisateur]],Tableau3[[Prenoms (ID)]:[Localisation]],2,FALSE)</f>
        <v>RECCI / Njato Be</v>
      </c>
      <c r="I149" t="str">
        <f>VLOOKUP(Tableau65[[#This Row],[Utilisateur]],Tableau3[[Prenoms (ID)]:[Localisation]],3,FALSE)</f>
        <v>BNI2</v>
      </c>
      <c r="J149">
        <f>VLOOKUP(Tableau65[[#This Row],[Utilisateur]],Tableau3[[Prenoms (ID)]:[CABINET]],4,FALSE)</f>
        <v>0</v>
      </c>
    </row>
    <row r="150" spans="1:13" x14ac:dyDescent="0.25">
      <c r="A150" s="2">
        <v>45418</v>
      </c>
      <c r="B150" t="s">
        <v>58</v>
      </c>
      <c r="C150" s="6">
        <v>1</v>
      </c>
      <c r="D150" t="s">
        <v>49</v>
      </c>
      <c r="G150" t="s">
        <v>336</v>
      </c>
      <c r="H150" t="str">
        <f>VLOOKUP(Tableau65[[#This Row],[Utilisateur]],Tableau3[[Prenoms (ID)]:[Localisation]],2,FALSE)</f>
        <v>PROGEXION</v>
      </c>
      <c r="I150" t="str">
        <f>VLOOKUP(Tableau65[[#This Row],[Utilisateur]],Tableau3[[Prenoms (ID)]:[Localisation]],3,FALSE)</f>
        <v>ARSAC</v>
      </c>
      <c r="J150">
        <f>VLOOKUP(Tableau65[[#This Row],[Utilisateur]],Tableau3[[Prenoms (ID)]:[CABINET]],4,FALSE)</f>
        <v>0</v>
      </c>
      <c r="M150" t="s">
        <v>439</v>
      </c>
    </row>
    <row r="151" spans="1:13" x14ac:dyDescent="0.25">
      <c r="A151" s="2">
        <v>45419</v>
      </c>
      <c r="B151" t="s">
        <v>28</v>
      </c>
      <c r="C151" s="6">
        <v>1</v>
      </c>
      <c r="D151" t="s">
        <v>49</v>
      </c>
      <c r="G151" t="s">
        <v>440</v>
      </c>
      <c r="H151" t="str">
        <f>VLOOKUP(Tableau65[[#This Row],[Utilisateur]],Tableau3[[Prenoms (ID)]:[Localisation]],2,FALSE)</f>
        <v>Audit CPA</v>
      </c>
      <c r="I151" t="str">
        <f>VLOOKUP(Tableau65[[#This Row],[Utilisateur]],Tableau3[[Prenoms (ID)]:[Localisation]],3,FALSE)</f>
        <v>AUDIT-CPA</v>
      </c>
      <c r="J151" t="str">
        <f>VLOOKUP(Tableau65[[#This Row],[Utilisateur]],Tableau3[[Prenoms (ID)]:[CABINET]],4,FALSE)</f>
        <v>CPA</v>
      </c>
    </row>
    <row r="152" spans="1:13" x14ac:dyDescent="0.25">
      <c r="A152" s="2">
        <v>45419</v>
      </c>
      <c r="B152" t="s">
        <v>28</v>
      </c>
      <c r="C152" s="6">
        <v>1</v>
      </c>
      <c r="D152" t="s">
        <v>49</v>
      </c>
      <c r="G152" t="s">
        <v>356</v>
      </c>
      <c r="H152" t="str">
        <f>VLOOKUP(Tableau65[[#This Row],[Utilisateur]],Tableau3[[Prenoms (ID)]:[Localisation]],2,FALSE)</f>
        <v>Audit CPA</v>
      </c>
      <c r="I152" t="str">
        <f>VLOOKUP(Tableau65[[#This Row],[Utilisateur]],Tableau3[[Prenoms (ID)]:[Localisation]],3,FALSE)</f>
        <v>AUDIT-CPA</v>
      </c>
      <c r="J152" t="str">
        <f>VLOOKUP(Tableau65[[#This Row],[Utilisateur]],Tableau3[[Prenoms (ID)]:[CABINET]],4,FALSE)</f>
        <v>CPA</v>
      </c>
    </row>
    <row r="153" spans="1:13" x14ac:dyDescent="0.25">
      <c r="A153" s="2">
        <v>45397</v>
      </c>
      <c r="B153" t="s">
        <v>24</v>
      </c>
      <c r="C153" s="6">
        <v>1</v>
      </c>
      <c r="D153" t="s">
        <v>49</v>
      </c>
      <c r="G153" t="s">
        <v>382</v>
      </c>
      <c r="H153" s="35" t="str">
        <f>VLOOKUP(Tableau65[[#This Row],[Utilisateur]],Tableau3[[Prenoms (ID)]:[Localisation]],2,FALSE)</f>
        <v>Cecca rueil</v>
      </c>
      <c r="I153" s="35" t="str">
        <f>VLOOKUP(Tableau65[[#This Row],[Utilisateur]],Tableau3[[Prenoms (ID)]:[Localisation]],3,FALSE)</f>
        <v>BNI1</v>
      </c>
      <c r="J153" s="35">
        <f>VLOOKUP(Tableau65[[#This Row],[Utilisateur]],Tableau3[[Prenoms (ID)]:[CABINET]],4,FALSE)</f>
        <v>0</v>
      </c>
    </row>
    <row r="154" spans="1:13" x14ac:dyDescent="0.25">
      <c r="A154" s="2">
        <v>45401</v>
      </c>
      <c r="B154" t="s">
        <v>24</v>
      </c>
      <c r="C154" s="6">
        <v>1</v>
      </c>
      <c r="D154" t="s">
        <v>49</v>
      </c>
      <c r="G154" t="s">
        <v>361</v>
      </c>
      <c r="H154" s="35" t="str">
        <f>VLOOKUP(Tableau65[[#This Row],[Utilisateur]],Tableau3[[Prenoms (ID)]:[Localisation]],2,FALSE)</f>
        <v>Optique / Mirado</v>
      </c>
      <c r="I154" s="35" t="str">
        <f>VLOOKUP(Tableau65[[#This Row],[Utilisateur]],Tableau3[[Prenoms (ID)]:[Localisation]],3,FALSE)</f>
        <v>BNI1</v>
      </c>
      <c r="J154" s="35">
        <f>VLOOKUP(Tableau65[[#This Row],[Utilisateur]],Tableau3[[Prenoms (ID)]:[CABINET]],4,FALSE)</f>
        <v>0</v>
      </c>
    </row>
    <row r="155" spans="1:13" x14ac:dyDescent="0.25">
      <c r="A155" s="2">
        <v>45419</v>
      </c>
      <c r="B155" t="s">
        <v>60</v>
      </c>
      <c r="C155" s="6">
        <v>1</v>
      </c>
      <c r="D155" t="s">
        <v>49</v>
      </c>
      <c r="G155" t="s">
        <v>316</v>
      </c>
      <c r="H155" s="35" t="str">
        <f>VLOOKUP(Tableau65[[#This Row],[Utilisateur]],Tableau3[[Prenoms (ID)]:[Localisation]],2,FALSE)</f>
        <v>Audit CPA</v>
      </c>
      <c r="I155" s="35" t="str">
        <f>VLOOKUP(Tableau65[[#This Row],[Utilisateur]],Tableau3[[Prenoms (ID)]:[Localisation]],3,FALSE)</f>
        <v>AUDIT-CPA</v>
      </c>
      <c r="J155" s="35" t="str">
        <f>VLOOKUP(Tableau65[[#This Row],[Utilisateur]],Tableau3[[Prenoms (ID)]:[CABINET]],4,FALSE)</f>
        <v>CPA</v>
      </c>
    </row>
    <row r="156" spans="1:13" x14ac:dyDescent="0.25">
      <c r="A156" s="2">
        <v>45419</v>
      </c>
      <c r="B156" t="s">
        <v>60</v>
      </c>
      <c r="C156" s="6">
        <v>1</v>
      </c>
      <c r="D156" t="s">
        <v>49</v>
      </c>
      <c r="G156" t="s">
        <v>430</v>
      </c>
      <c r="H156" s="35" t="str">
        <f>VLOOKUP(Tableau65[[#This Row],[Utilisateur]],Tableau3[[Prenoms (ID)]:[Localisation]],2,FALSE)</f>
        <v>Audit CPA</v>
      </c>
      <c r="I156" s="35" t="str">
        <f>VLOOKUP(Tableau65[[#This Row],[Utilisateur]],Tableau3[[Prenoms (ID)]:[Localisation]],3,FALSE)</f>
        <v>AUDIT-CPA</v>
      </c>
      <c r="J156" s="35" t="str">
        <f>VLOOKUP(Tableau65[[#This Row],[Utilisateur]],Tableau3[[Prenoms (ID)]:[CABINET]],4,FALSE)</f>
        <v>CPA</v>
      </c>
    </row>
    <row r="157" spans="1:13" x14ac:dyDescent="0.25">
      <c r="A157" s="2">
        <v>45420</v>
      </c>
      <c r="B157" t="s">
        <v>52</v>
      </c>
      <c r="C157" s="57">
        <v>1</v>
      </c>
      <c r="D157" t="s">
        <v>49</v>
      </c>
      <c r="G157" t="s">
        <v>441</v>
      </c>
      <c r="H157" t="str">
        <f>VLOOKUP(Tableau65[[#This Row],[Utilisateur]],Tableau3[[Prenoms (ID)]:[Localisation]],2,FALSE)</f>
        <v>QUALITE</v>
      </c>
      <c r="I157" t="str">
        <f>VLOOKUP(Tableau65[[#This Row],[Utilisateur]],Tableau3[[Prenoms (ID)]:[Localisation]],3,FALSE)</f>
        <v>CENTRE</v>
      </c>
      <c r="J157">
        <f>VLOOKUP(Tableau65[[#This Row],[Utilisateur]],Tableau3[[Prenoms (ID)]:[CABINET]],4,FALSE)</f>
        <v>0</v>
      </c>
    </row>
    <row r="158" spans="1:13" x14ac:dyDescent="0.25">
      <c r="A158" s="2">
        <v>45420</v>
      </c>
      <c r="B158" t="s">
        <v>58</v>
      </c>
      <c r="C158" s="6">
        <v>1</v>
      </c>
      <c r="D158" t="s">
        <v>49</v>
      </c>
      <c r="G158" t="s">
        <v>283</v>
      </c>
      <c r="H158" t="str">
        <f>VLOOKUP(Tableau65[[#This Row],[Utilisateur]],Tableau3[[Prenoms (ID)]:[Localisation]],2,FALSE)</f>
        <v>Info</v>
      </c>
      <c r="I158" t="str">
        <f>VLOOKUP(Tableau65[[#This Row],[Utilisateur]],Tableau3[[Prenoms (ID)]:[Localisation]],3,FALSE)</f>
        <v>BIRA</v>
      </c>
      <c r="J158" t="str">
        <f>VLOOKUP(Tableau65[[#This Row],[Utilisateur]],Tableau3[[Prenoms (ID)]:[CABINET]],4,FALSE)</f>
        <v>CPA</v>
      </c>
      <c r="M158" t="s">
        <v>442</v>
      </c>
    </row>
    <row r="159" spans="1:13" x14ac:dyDescent="0.25">
      <c r="A159" s="2">
        <v>45420</v>
      </c>
      <c r="B159" t="s">
        <v>74</v>
      </c>
      <c r="C159" s="6">
        <v>1</v>
      </c>
      <c r="D159" t="s">
        <v>49</v>
      </c>
      <c r="G159" t="s">
        <v>407</v>
      </c>
      <c r="H159" t="str">
        <f>VLOOKUP(Tableau65[[#This Row],[Utilisateur]],Tableau3[[Prenoms (ID)]:[Localisation]],2,FALSE)</f>
        <v>QUALITE</v>
      </c>
      <c r="I159" t="str">
        <f>VLOOKUP(Tableau65[[#This Row],[Utilisateur]],Tableau3[[Prenoms (ID)]:[Localisation]],3,FALSE)</f>
        <v>CENTRE</v>
      </c>
      <c r="J159">
        <f>VLOOKUP(Tableau65[[#This Row],[Utilisateur]],Tableau3[[Prenoms (ID)]:[CABINET]],4,FALSE)</f>
        <v>0</v>
      </c>
    </row>
    <row r="160" spans="1:13" x14ac:dyDescent="0.25">
      <c r="A160" s="2">
        <v>45420</v>
      </c>
      <c r="B160" t="s">
        <v>52</v>
      </c>
      <c r="C160" s="57">
        <v>1</v>
      </c>
      <c r="D160" t="s">
        <v>49</v>
      </c>
      <c r="G160" t="s">
        <v>443</v>
      </c>
      <c r="H160" t="str">
        <f>VLOOKUP(Tableau65[[#This Row],[Utilisateur]],Tableau3[[Prenoms (ID)]:[Localisation]],2,FALSE)</f>
        <v>Eccentive</v>
      </c>
      <c r="I160" t="str">
        <f>VLOOKUP(Tableau65[[#This Row],[Utilisateur]],Tableau3[[Prenoms (ID)]:[Localisation]],3,FALSE)</f>
        <v>ECCENTIVE</v>
      </c>
      <c r="J160">
        <f>VLOOKUP(Tableau65[[#This Row],[Utilisateur]],Tableau3[[Prenoms (ID)]:[CABINET]],4,FALSE)</f>
        <v>0</v>
      </c>
    </row>
    <row r="161" spans="1:13" x14ac:dyDescent="0.25">
      <c r="A161" s="50">
        <v>45405</v>
      </c>
      <c r="B161" t="s">
        <v>24</v>
      </c>
      <c r="C161" s="6">
        <v>1</v>
      </c>
      <c r="D161" t="s">
        <v>49</v>
      </c>
      <c r="G161" t="s">
        <v>444</v>
      </c>
      <c r="H161" s="35" t="str">
        <f>VLOOKUP(Tableau65[[#This Row],[Utilisateur]],Tableau3[[Prenoms (ID)]:[Localisation]],2,FALSE)</f>
        <v>Audit CPA</v>
      </c>
      <c r="I161" s="35" t="str">
        <f>VLOOKUP(Tableau65[[#This Row],[Utilisateur]],Tableau3[[Prenoms (ID)]:[Localisation]],3,FALSE)</f>
        <v>AUDIT-CPA</v>
      </c>
      <c r="J161" s="35" t="str">
        <f>VLOOKUP(Tableau65[[#This Row],[Utilisateur]],Tableau3[[Prenoms (ID)]:[CABINET]],4,FALSE)</f>
        <v>CPA</v>
      </c>
    </row>
    <row r="162" spans="1:13" x14ac:dyDescent="0.25">
      <c r="A162" s="2">
        <v>45422</v>
      </c>
      <c r="B162" t="s">
        <v>52</v>
      </c>
      <c r="C162" s="57">
        <v>1</v>
      </c>
      <c r="D162" t="s">
        <v>49</v>
      </c>
      <c r="G162" t="s">
        <v>445</v>
      </c>
      <c r="H162" t="str">
        <f>VLOOKUP(Tableau65[[#This Row],[Utilisateur]],Tableau3[[Prenoms (ID)]:[Localisation]],2,FALSE)</f>
        <v>Optique / Sata</v>
      </c>
      <c r="I162" t="str">
        <f>VLOOKUP(Tableau65[[#This Row],[Utilisateur]],Tableau3[[Prenoms (ID)]:[Localisation]],3,FALSE)</f>
        <v>BNI1</v>
      </c>
      <c r="J162">
        <f>VLOOKUP(Tableau65[[#This Row],[Utilisateur]],Tableau3[[Prenoms (ID)]:[CABINET]],4,FALSE)</f>
        <v>0</v>
      </c>
    </row>
    <row r="163" spans="1:13" x14ac:dyDescent="0.25">
      <c r="A163" s="2">
        <v>45406</v>
      </c>
      <c r="B163" t="s">
        <v>24</v>
      </c>
      <c r="C163" s="6">
        <v>1</v>
      </c>
      <c r="D163" t="s">
        <v>49</v>
      </c>
      <c r="G163" t="s">
        <v>437</v>
      </c>
      <c r="H163" t="str">
        <f>VLOOKUP(Tableau65[[#This Row],[Utilisateur]],Tableau3[[Prenoms (ID)]:[Localisation]],2,FALSE)</f>
        <v>NE2C</v>
      </c>
      <c r="I163" t="str">
        <f>VLOOKUP(Tableau65[[#This Row],[Utilisateur]],Tableau3[[Prenoms (ID)]:[Localisation]],3,FALSE)</f>
        <v>ARSAC</v>
      </c>
      <c r="J163">
        <f>VLOOKUP(Tableau65[[#This Row],[Utilisateur]],Tableau3[[Prenoms (ID)]:[CABINET]],4,FALSE)</f>
        <v>0</v>
      </c>
    </row>
    <row r="164" spans="1:13" x14ac:dyDescent="0.25">
      <c r="A164" s="2">
        <v>45426</v>
      </c>
      <c r="B164" t="s">
        <v>76</v>
      </c>
      <c r="C164" s="6">
        <v>1</v>
      </c>
      <c r="D164" t="s">
        <v>49</v>
      </c>
      <c r="G164" t="s">
        <v>50</v>
      </c>
      <c r="H164">
        <f>VLOOKUP(Tableau65[[#This Row],[Utilisateur]],Tableau3[[Prenoms (ID)]:[Localisation]],2,FALSE)</f>
        <v>0</v>
      </c>
      <c r="I164">
        <f>VLOOKUP(Tableau65[[#This Row],[Utilisateur]],Tableau3[[Prenoms (ID)]:[Localisation]],3,FALSE)</f>
        <v>0</v>
      </c>
      <c r="J164">
        <f>VLOOKUP(Tableau65[[#This Row],[Utilisateur]],Tableau3[[Prenoms (ID)]:[CABINET]],4,FALSE)</f>
        <v>0</v>
      </c>
    </row>
    <row r="165" spans="1:13" x14ac:dyDescent="0.25">
      <c r="A165" s="2">
        <v>45427</v>
      </c>
      <c r="B165" t="s">
        <v>52</v>
      </c>
      <c r="C165" s="57">
        <v>1</v>
      </c>
      <c r="D165" t="s">
        <v>49</v>
      </c>
      <c r="G165" t="s">
        <v>446</v>
      </c>
      <c r="H165" t="str">
        <f>VLOOKUP(Tableau65[[#This Row],[Utilisateur]],Tableau3[[Prenoms (ID)]:[Localisation]],2,FALSE)</f>
        <v>Optique / Sata</v>
      </c>
      <c r="I165" t="str">
        <f>VLOOKUP(Tableau65[[#This Row],[Utilisateur]],Tableau3[[Prenoms (ID)]:[Localisation]],3,FALSE)</f>
        <v>BNI1</v>
      </c>
      <c r="J165">
        <f>VLOOKUP(Tableau65[[#This Row],[Utilisateur]],Tableau3[[Prenoms (ID)]:[CABINET]],4,FALSE)</f>
        <v>0</v>
      </c>
    </row>
    <row r="166" spans="1:13" x14ac:dyDescent="0.25">
      <c r="A166" s="2">
        <v>45428</v>
      </c>
      <c r="B166" t="s">
        <v>139</v>
      </c>
      <c r="C166" s="6">
        <v>1</v>
      </c>
      <c r="D166" t="s">
        <v>49</v>
      </c>
      <c r="G166" t="s">
        <v>447</v>
      </c>
      <c r="H166" t="str">
        <f>VLOOKUP(Tableau65[[#This Row],[Utilisateur]],Tableau3[[Prenoms (ID)]:[Localisation]],2,FALSE)</f>
        <v>Stagiaire</v>
      </c>
      <c r="I166" t="str">
        <f>VLOOKUP(Tableau65[[#This Row],[Utilisateur]],Tableau3[[Prenoms (ID)]:[Localisation]],3,FALSE)</f>
        <v>LYFR</v>
      </c>
      <c r="J166">
        <f>VLOOKUP(Tableau65[[#This Row],[Utilisateur]],Tableau3[[Prenoms (ID)]:[CABINET]],4,FALSE)</f>
        <v>0</v>
      </c>
    </row>
    <row r="167" spans="1:13" x14ac:dyDescent="0.25">
      <c r="A167" s="2">
        <v>45428</v>
      </c>
      <c r="B167" t="s">
        <v>139</v>
      </c>
      <c r="C167" s="6">
        <v>1</v>
      </c>
      <c r="D167" t="s">
        <v>49</v>
      </c>
      <c r="G167" t="s">
        <v>448</v>
      </c>
      <c r="H167" t="str">
        <f>VLOOKUP(Tableau65[[#This Row],[Utilisateur]],Tableau3[[Prenoms (ID)]:[Localisation]],2,FALSE)</f>
        <v>Stagiare</v>
      </c>
      <c r="I167" t="str">
        <f>VLOOKUP(Tableau65[[#This Row],[Utilisateur]],Tableau3[[Prenoms (ID)]:[Localisation]],3,FALSE)</f>
        <v>LYFR</v>
      </c>
      <c r="J167">
        <f>VLOOKUP(Tableau65[[#This Row],[Utilisateur]],Tableau3[[Prenoms (ID)]:[CABINET]],4,FALSE)</f>
        <v>0</v>
      </c>
    </row>
    <row r="168" spans="1:13" x14ac:dyDescent="0.25">
      <c r="A168" s="2">
        <v>45428</v>
      </c>
      <c r="B168" t="s">
        <v>58</v>
      </c>
      <c r="C168" s="6">
        <v>1</v>
      </c>
      <c r="D168" t="s">
        <v>49</v>
      </c>
      <c r="G168" t="s">
        <v>448</v>
      </c>
      <c r="H168" t="str">
        <f>VLOOKUP(Tableau65[[#This Row],[Utilisateur]],Tableau3[[Prenoms (ID)]:[Localisation]],2,FALSE)</f>
        <v>Stagiare</v>
      </c>
      <c r="I168" t="str">
        <f>VLOOKUP(Tableau65[[#This Row],[Utilisateur]],Tableau3[[Prenoms (ID)]:[Localisation]],3,FALSE)</f>
        <v>LYFR</v>
      </c>
      <c r="J168">
        <f>VLOOKUP(Tableau65[[#This Row],[Utilisateur]],Tableau3[[Prenoms (ID)]:[CABINET]],4,FALSE)</f>
        <v>0</v>
      </c>
    </row>
    <row r="169" spans="1:13" x14ac:dyDescent="0.25">
      <c r="A169" s="2">
        <v>45428</v>
      </c>
      <c r="B169" t="s">
        <v>52</v>
      </c>
      <c r="C169" s="57">
        <v>1</v>
      </c>
      <c r="D169" t="s">
        <v>49</v>
      </c>
      <c r="E169" t="s">
        <v>290</v>
      </c>
      <c r="G169" t="s">
        <v>449</v>
      </c>
      <c r="H169" t="str">
        <f>VLOOKUP(Tableau65[[#This Row],[Utilisateur]],Tableau3[[Prenoms (ID)]:[Localisation]],2,FALSE)</f>
        <v>-</v>
      </c>
      <c r="I169" t="str">
        <f>VLOOKUP(Tableau65[[#This Row],[Utilisateur]],Tableau3[[Prenoms (ID)]:[Localisation]],3,FALSE)</f>
        <v>BIRA</v>
      </c>
      <c r="J169" t="str">
        <f>VLOOKUP(Tableau65[[#This Row],[Utilisateur]],Tableau3[[Prenoms (ID)]:[CABINET]],4,FALSE)</f>
        <v>CPA</v>
      </c>
      <c r="M169" t="s">
        <v>450</v>
      </c>
    </row>
    <row r="170" spans="1:13" x14ac:dyDescent="0.25">
      <c r="A170" s="2">
        <v>45428</v>
      </c>
      <c r="B170" t="s">
        <v>52</v>
      </c>
      <c r="C170" s="57">
        <v>1</v>
      </c>
      <c r="D170" t="s">
        <v>49</v>
      </c>
      <c r="G170" t="s">
        <v>447</v>
      </c>
      <c r="H170" t="str">
        <f>VLOOKUP(Tableau65[[#This Row],[Utilisateur]],Tableau3[[Prenoms (ID)]:[Localisation]],2,FALSE)</f>
        <v>Stagiaire</v>
      </c>
      <c r="I170" t="str">
        <f>VLOOKUP(Tableau65[[#This Row],[Utilisateur]],Tableau3[[Prenoms (ID)]:[Localisation]],3,FALSE)</f>
        <v>LYFR</v>
      </c>
      <c r="J170">
        <f>VLOOKUP(Tableau65[[#This Row],[Utilisateur]],Tableau3[[Prenoms (ID)]:[CABINET]],4,FALSE)</f>
        <v>0</v>
      </c>
    </row>
    <row r="171" spans="1:13" x14ac:dyDescent="0.25">
      <c r="A171" s="2">
        <v>45433</v>
      </c>
      <c r="B171" t="s">
        <v>64</v>
      </c>
      <c r="C171" s="6">
        <v>1</v>
      </c>
      <c r="D171" t="s">
        <v>49</v>
      </c>
      <c r="G171" t="s">
        <v>451</v>
      </c>
      <c r="H171" t="str">
        <f>VLOOKUP(Tableau65[[#This Row],[Utilisateur]],Tableau3[[Prenoms (ID)]:[Localisation]],2,FALSE)</f>
        <v>Eccentive</v>
      </c>
      <c r="I171" t="str">
        <f>VLOOKUP(Tableau65[[#This Row],[Utilisateur]],Tableau3[[Prenoms (ID)]:[Localisation]],3,FALSE)</f>
        <v>LMNP</v>
      </c>
      <c r="J171">
        <f>VLOOKUP(Tableau65[[#This Row],[Utilisateur]],Tableau3[[Prenoms (ID)]:[CABINET]],4,FALSE)</f>
        <v>0</v>
      </c>
      <c r="M171" t="s">
        <v>452</v>
      </c>
    </row>
    <row r="172" spans="1:13" x14ac:dyDescent="0.25">
      <c r="A172" s="2">
        <v>45433</v>
      </c>
      <c r="B172" t="s">
        <v>52</v>
      </c>
      <c r="C172" s="57">
        <v>1</v>
      </c>
      <c r="D172" t="s">
        <v>49</v>
      </c>
      <c r="G172" t="s">
        <v>453</v>
      </c>
      <c r="H172" t="str">
        <f>VLOOKUP(Tableau65[[#This Row],[Utilisateur]],Tableau3[[Prenoms (ID)]:[Localisation]],2,FALSE)</f>
        <v>Audit CPA</v>
      </c>
      <c r="I172" t="str">
        <f>VLOOKUP(Tableau65[[#This Row],[Utilisateur]],Tableau3[[Prenoms (ID)]:[Localisation]],3,FALSE)</f>
        <v>AUDIT-CPA</v>
      </c>
      <c r="J172" t="str">
        <f>VLOOKUP(Tableau65[[#This Row],[Utilisateur]],Tableau3[[Prenoms (ID)]:[CABINET]],4,FALSE)</f>
        <v>CPA</v>
      </c>
    </row>
    <row r="173" spans="1:13" x14ac:dyDescent="0.25">
      <c r="A173" s="2">
        <v>45435</v>
      </c>
      <c r="B173" t="s">
        <v>52</v>
      </c>
      <c r="C173" s="57">
        <v>1</v>
      </c>
      <c r="D173" t="s">
        <v>49</v>
      </c>
      <c r="G173" t="s">
        <v>454</v>
      </c>
      <c r="H173" t="str">
        <f>VLOOKUP(Tableau65[[#This Row],[Utilisateur]],Tableau3[[Prenoms (ID)]:[Localisation]],2,FALSE)</f>
        <v>Xperia</v>
      </c>
      <c r="I173" t="str">
        <f>VLOOKUP(Tableau65[[#This Row],[Utilisateur]],Tableau3[[Prenoms (ID)]:[Localisation]],3,FALSE)</f>
        <v>ARSAC</v>
      </c>
      <c r="J173">
        <f>VLOOKUP(Tableau65[[#This Row],[Utilisateur]],Tableau3[[Prenoms (ID)]:[CABINET]],4,FALSE)</f>
        <v>0</v>
      </c>
    </row>
    <row r="174" spans="1:13" x14ac:dyDescent="0.25">
      <c r="A174" s="2">
        <v>45435</v>
      </c>
      <c r="B174" t="s">
        <v>54</v>
      </c>
      <c r="C174" s="6">
        <v>1</v>
      </c>
      <c r="D174" t="s">
        <v>49</v>
      </c>
      <c r="G174" t="s">
        <v>455</v>
      </c>
      <c r="H174" t="str">
        <f>VLOOKUP(Tableau65[[#This Row],[Utilisateur]],Tableau3[[Prenoms (ID)]:[Localisation]],2,FALSE)</f>
        <v>-</v>
      </c>
      <c r="I174" t="str">
        <f>VLOOKUP(Tableau65[[#This Row],[Utilisateur]],Tableau3[[Prenoms (ID)]:[Localisation]],3,FALSE)</f>
        <v>BIRA</v>
      </c>
      <c r="J174" t="str">
        <f>VLOOKUP(Tableau65[[#This Row],[Utilisateur]],Tableau3[[Prenoms (ID)]:[CABINET]],4,FALSE)</f>
        <v>CPA</v>
      </c>
    </row>
    <row r="175" spans="1:13" x14ac:dyDescent="0.25">
      <c r="A175" s="2">
        <v>45435</v>
      </c>
      <c r="B175" t="s">
        <v>54</v>
      </c>
      <c r="C175" s="6">
        <v>1</v>
      </c>
      <c r="D175" t="s">
        <v>49</v>
      </c>
      <c r="G175" t="s">
        <v>366</v>
      </c>
      <c r="H175" t="str">
        <f>VLOOKUP(Tableau65[[#This Row],[Utilisateur]],Tableau3[[Prenoms (ID)]:[Localisation]],2,FALSE)</f>
        <v>RECCI / Njato Be</v>
      </c>
      <c r="I175" t="str">
        <f>VLOOKUP(Tableau65[[#This Row],[Utilisateur]],Tableau3[[Prenoms (ID)]:[Localisation]],3,FALSE)</f>
        <v>BNI2</v>
      </c>
      <c r="J175">
        <f>VLOOKUP(Tableau65[[#This Row],[Utilisateur]],Tableau3[[Prenoms (ID)]:[CABINET]],4,FALSE)</f>
        <v>0</v>
      </c>
      <c r="M175" t="s">
        <v>456</v>
      </c>
    </row>
    <row r="176" spans="1:13" x14ac:dyDescent="0.25">
      <c r="A176" s="2">
        <v>45436</v>
      </c>
      <c r="B176" t="s">
        <v>64</v>
      </c>
      <c r="C176" s="6">
        <v>1</v>
      </c>
      <c r="D176" t="s">
        <v>49</v>
      </c>
      <c r="G176" t="s">
        <v>457</v>
      </c>
      <c r="H176" t="str">
        <f>VLOOKUP(Tableau65[[#This Row],[Utilisateur]],Tableau3[[Prenoms (ID)]:[Localisation]],2,FALSE)</f>
        <v>Audit CPA</v>
      </c>
      <c r="I176" t="str">
        <f>VLOOKUP(Tableau65[[#This Row],[Utilisateur]],Tableau3[[Prenoms (ID)]:[Localisation]],3,FALSE)</f>
        <v>AUDIT-CPA</v>
      </c>
      <c r="J176" t="str">
        <f>VLOOKUP(Tableau65[[#This Row],[Utilisateur]],Tableau3[[Prenoms (ID)]:[CABINET]],4,FALSE)</f>
        <v>CPA</v>
      </c>
    </row>
    <row r="177" spans="1:13" x14ac:dyDescent="0.25">
      <c r="A177" s="2">
        <v>45439</v>
      </c>
      <c r="B177" t="s">
        <v>64</v>
      </c>
      <c r="C177" s="6">
        <v>1</v>
      </c>
      <c r="D177" t="s">
        <v>49</v>
      </c>
      <c r="G177" t="s">
        <v>386</v>
      </c>
      <c r="H177" t="str">
        <f>VLOOKUP(Tableau65[[#This Row],[Utilisateur]],Tableau3[[Prenoms (ID)]:[Localisation]],2,FALSE)</f>
        <v>Audit CPA</v>
      </c>
      <c r="I177" t="str">
        <f>VLOOKUP(Tableau65[[#This Row],[Utilisateur]],Tableau3[[Prenoms (ID)]:[Localisation]],3,FALSE)</f>
        <v>AUDIT-CPA</v>
      </c>
      <c r="J177" t="str">
        <f>VLOOKUP(Tableau65[[#This Row],[Utilisateur]],Tableau3[[Prenoms (ID)]:[CABINET]],4,FALSE)</f>
        <v>CPA</v>
      </c>
    </row>
    <row r="178" spans="1:13" x14ac:dyDescent="0.25">
      <c r="A178" s="2">
        <v>45440</v>
      </c>
      <c r="B178" t="s">
        <v>52</v>
      </c>
      <c r="C178" s="57">
        <v>1</v>
      </c>
      <c r="D178" t="s">
        <v>49</v>
      </c>
      <c r="G178" t="s">
        <v>458</v>
      </c>
      <c r="H178" t="str">
        <f>VLOOKUP(Tableau65[[#This Row],[Utilisateur]],Tableau3[[Prenoms (ID)]:[Localisation]],2,FALSE)</f>
        <v>Juridique</v>
      </c>
      <c r="I178" t="str">
        <f>VLOOKUP(Tableau65[[#This Row],[Utilisateur]],Tableau3[[Prenoms (ID)]:[Localisation]],3,FALSE)</f>
        <v>BNI2</v>
      </c>
      <c r="J178">
        <f>VLOOKUP(Tableau65[[#This Row],[Utilisateur]],Tableau3[[Prenoms (ID)]:[CABINET]],4,FALSE)</f>
        <v>0</v>
      </c>
    </row>
    <row r="179" spans="1:13" x14ac:dyDescent="0.25">
      <c r="A179" s="2">
        <v>45442</v>
      </c>
      <c r="B179" t="s">
        <v>58</v>
      </c>
      <c r="C179" s="6">
        <v>1</v>
      </c>
      <c r="D179" t="s">
        <v>49</v>
      </c>
      <c r="G179" t="s">
        <v>459</v>
      </c>
      <c r="H179" t="str">
        <f>VLOOKUP(Tableau65[[#This Row],[Utilisateur]],Tableau3[[Prenoms (ID)]:[Localisation]],2,FALSE)</f>
        <v>Apprenti</v>
      </c>
      <c r="I179" t="str">
        <f>VLOOKUP(Tableau65[[#This Row],[Utilisateur]],Tableau3[[Prenoms (ID)]:[Localisation]],3,FALSE)</f>
        <v>BIRA</v>
      </c>
      <c r="J179">
        <f>VLOOKUP(Tableau65[[#This Row],[Utilisateur]],Tableau3[[Prenoms (ID)]:[CABINET]],4,FALSE)</f>
        <v>0</v>
      </c>
    </row>
    <row r="180" spans="1:13" x14ac:dyDescent="0.25">
      <c r="A180" s="2">
        <v>45443</v>
      </c>
      <c r="B180" t="s">
        <v>52</v>
      </c>
      <c r="C180" s="57">
        <v>1</v>
      </c>
      <c r="D180" t="s">
        <v>49</v>
      </c>
      <c r="G180" t="s">
        <v>460</v>
      </c>
      <c r="H180" t="str">
        <f>VLOOKUP(Tableau65[[#This Row],[Utilisateur]],Tableau3[[Prenoms (ID)]:[Localisation]],2,FALSE)</f>
        <v>Audit CPA</v>
      </c>
      <c r="I180" t="str">
        <f>VLOOKUP(Tableau65[[#This Row],[Utilisateur]],Tableau3[[Prenoms (ID)]:[Localisation]],3,FALSE)</f>
        <v>TSIADANA</v>
      </c>
      <c r="J180" t="str">
        <f>VLOOKUP(Tableau65[[#This Row],[Utilisateur]],Tableau3[[Prenoms (ID)]:[CABINET]],4,FALSE)</f>
        <v>CPA</v>
      </c>
    </row>
    <row r="181" spans="1:13" x14ac:dyDescent="0.25">
      <c r="A181" s="2">
        <v>45411</v>
      </c>
      <c r="B181" t="s">
        <v>24</v>
      </c>
      <c r="C181" s="6">
        <v>1</v>
      </c>
      <c r="D181" t="s">
        <v>49</v>
      </c>
      <c r="G181" t="s">
        <v>419</v>
      </c>
      <c r="H181" s="35" t="str">
        <f>VLOOKUP(Tableau65[[#This Row],[Utilisateur]],Tableau3[[Prenoms (ID)]:[Localisation]],2,FALSE)</f>
        <v>Audit CPA</v>
      </c>
      <c r="I181" s="35" t="str">
        <f>VLOOKUP(Tableau65[[#This Row],[Utilisateur]],Tableau3[[Prenoms (ID)]:[Localisation]],3,FALSE)</f>
        <v>AUDIT-CPA</v>
      </c>
      <c r="J181" s="35" t="str">
        <f>VLOOKUP(Tableau65[[#This Row],[Utilisateur]],Tableau3[[Prenoms (ID)]:[CABINET]],4,FALSE)</f>
        <v>CPA</v>
      </c>
    </row>
    <row r="182" spans="1:13" x14ac:dyDescent="0.25">
      <c r="A182" s="2">
        <v>45443</v>
      </c>
      <c r="B182" t="s">
        <v>52</v>
      </c>
      <c r="C182" s="57">
        <v>1</v>
      </c>
      <c r="D182" t="s">
        <v>49</v>
      </c>
      <c r="G182" t="s">
        <v>461</v>
      </c>
      <c r="H182" t="e">
        <f>VLOOKUP(Tableau65[[#This Row],[Utilisateur]],Tableau3[[Prenoms (ID)]:[Localisation]],2,FALSE)</f>
        <v>#N/A</v>
      </c>
      <c r="I182" t="e">
        <f>VLOOKUP(Tableau65[[#This Row],[Utilisateur]],Tableau3[[Prenoms (ID)]:[Localisation]],3,FALSE)</f>
        <v>#N/A</v>
      </c>
      <c r="J182" t="e">
        <f>VLOOKUP(Tableau65[[#This Row],[Utilisateur]],Tableau3[[Prenoms (ID)]:[CABINET]],4,FALSE)</f>
        <v>#N/A</v>
      </c>
    </row>
    <row r="183" spans="1:13" x14ac:dyDescent="0.25">
      <c r="A183" s="2">
        <v>45447</v>
      </c>
      <c r="B183" t="s">
        <v>60</v>
      </c>
      <c r="C183" s="6">
        <v>1</v>
      </c>
      <c r="D183" t="s">
        <v>49</v>
      </c>
      <c r="G183" t="s">
        <v>462</v>
      </c>
      <c r="H183" s="35" t="str">
        <f>VLOOKUP(Tableau65[[#This Row],[Utilisateur]],Tableau3[[Prenoms (ID)]:[Localisation]],2,FALSE)</f>
        <v>Audit CPA</v>
      </c>
      <c r="I183" s="35" t="str">
        <f>VLOOKUP(Tableau65[[#This Row],[Utilisateur]],Tableau3[[Prenoms (ID)]:[Localisation]],3,FALSE)</f>
        <v>MADAFIT</v>
      </c>
      <c r="J183" s="35" t="str">
        <f>VLOOKUP(Tableau65[[#This Row],[Utilisateur]],Tableau3[[Prenoms (ID)]:[CABINET]],4,FALSE)</f>
        <v>CPA</v>
      </c>
    </row>
    <row r="184" spans="1:13" x14ac:dyDescent="0.25">
      <c r="A184" s="2">
        <v>45450</v>
      </c>
      <c r="B184" t="s">
        <v>52</v>
      </c>
      <c r="C184" s="57">
        <v>1</v>
      </c>
      <c r="D184" t="s">
        <v>49</v>
      </c>
      <c r="G184" t="s">
        <v>463</v>
      </c>
      <c r="H184" t="str">
        <f>VLOOKUP(Tableau65[[#This Row],[Utilisateur]],Tableau3[[Prenoms (ID)]:[Localisation]],2,FALSE)</f>
        <v>Juridique</v>
      </c>
      <c r="I184" t="str">
        <f>VLOOKUP(Tableau65[[#This Row],[Utilisateur]],Tableau3[[Prenoms (ID)]:[Localisation]],3,FALSE)</f>
        <v>BNI2</v>
      </c>
      <c r="J184">
        <f>VLOOKUP(Tableau65[[#This Row],[Utilisateur]],Tableau3[[Prenoms (ID)]:[CABINET]],4,FALSE)</f>
        <v>0</v>
      </c>
    </row>
    <row r="185" spans="1:13" x14ac:dyDescent="0.25">
      <c r="A185" s="2">
        <v>45455</v>
      </c>
      <c r="B185" t="s">
        <v>25</v>
      </c>
      <c r="C185" s="6">
        <v>1</v>
      </c>
      <c r="D185" t="s">
        <v>49</v>
      </c>
      <c r="G185" t="s">
        <v>464</v>
      </c>
      <c r="H185" t="str">
        <f>VLOOKUP(Tableau65[[#This Row],[Utilisateur]],Tableau3[[Prenoms (ID)]:[Localisation]],2,FALSE)</f>
        <v>Optique / Sata</v>
      </c>
      <c r="I185" t="str">
        <f>VLOOKUP(Tableau65[[#This Row],[Utilisateur]],Tableau3[[Prenoms (ID)]:[Localisation]],3,FALSE)</f>
        <v>BNI1</v>
      </c>
      <c r="J185">
        <f>VLOOKUP(Tableau65[[#This Row],[Utilisateur]],Tableau3[[Prenoms (ID)]:[CABINET]],4,FALSE)</f>
        <v>0</v>
      </c>
    </row>
    <row r="186" spans="1:13" x14ac:dyDescent="0.25">
      <c r="A186" s="2">
        <v>45455</v>
      </c>
      <c r="B186" t="s">
        <v>52</v>
      </c>
      <c r="C186" s="57">
        <v>1</v>
      </c>
      <c r="D186" t="s">
        <v>49</v>
      </c>
      <c r="E186" s="5"/>
      <c r="H186" t="e">
        <f>VLOOKUP(Tableau65[[#This Row],[Utilisateur]],Tableau3[[Prenoms (ID)]:[Localisation]],2,FALSE)</f>
        <v>#N/A</v>
      </c>
      <c r="I186" t="e">
        <f>VLOOKUP(Tableau65[[#This Row],[Utilisateur]],Tableau3[[Prenoms (ID)]:[Localisation]],3,FALSE)</f>
        <v>#N/A</v>
      </c>
      <c r="J186" t="e">
        <f>VLOOKUP(Tableau65[[#This Row],[Utilisateur]],Tableau3[[Prenoms (ID)]:[CABINET]],4,FALSE)</f>
        <v>#N/A</v>
      </c>
      <c r="M186" t="s">
        <v>465</v>
      </c>
    </row>
    <row r="187" spans="1:13" x14ac:dyDescent="0.25">
      <c r="A187" s="2">
        <v>45456</v>
      </c>
      <c r="B187" t="s">
        <v>52</v>
      </c>
      <c r="C187" s="57">
        <v>1</v>
      </c>
      <c r="D187" t="s">
        <v>49</v>
      </c>
      <c r="G187" t="s">
        <v>466</v>
      </c>
      <c r="H187" t="str">
        <f>VLOOKUP(Tableau65[[#This Row],[Utilisateur]],Tableau3[[Prenoms (ID)]:[Localisation]],2,FALSE)</f>
        <v>Optique / Mirado</v>
      </c>
      <c r="I187" t="str">
        <f>VLOOKUP(Tableau65[[#This Row],[Utilisateur]],Tableau3[[Prenoms (ID)]:[Localisation]],3,FALSE)</f>
        <v>BNI1</v>
      </c>
      <c r="J187">
        <f>VLOOKUP(Tableau65[[#This Row],[Utilisateur]],Tableau3[[Prenoms (ID)]:[CABINET]],4,FALSE)</f>
        <v>0</v>
      </c>
    </row>
    <row r="188" spans="1:13" x14ac:dyDescent="0.25">
      <c r="A188" s="2">
        <v>45456</v>
      </c>
      <c r="B188" t="s">
        <v>52</v>
      </c>
      <c r="C188" s="57">
        <v>1</v>
      </c>
      <c r="D188" t="s">
        <v>49</v>
      </c>
      <c r="G188" t="s">
        <v>367</v>
      </c>
      <c r="H188" t="str">
        <f>VLOOKUP(Tableau65[[#This Row],[Utilisateur]],Tableau3[[Prenoms (ID)]:[Localisation]],2,FALSE)</f>
        <v>RECCI / Njato Be</v>
      </c>
      <c r="I188" t="str">
        <f>VLOOKUP(Tableau65[[#This Row],[Utilisateur]],Tableau3[[Prenoms (ID)]:[Localisation]],3,FALSE)</f>
        <v>BNI2</v>
      </c>
      <c r="J188">
        <f>VLOOKUP(Tableau65[[#This Row],[Utilisateur]],Tableau3[[Prenoms (ID)]:[CABINET]],4,FALSE)</f>
        <v>0</v>
      </c>
    </row>
    <row r="189" spans="1:13" x14ac:dyDescent="0.25">
      <c r="A189" s="2">
        <v>45456</v>
      </c>
      <c r="B189" t="s">
        <v>52</v>
      </c>
      <c r="C189" s="57">
        <v>1</v>
      </c>
      <c r="D189" t="s">
        <v>49</v>
      </c>
      <c r="G189" t="s">
        <v>467</v>
      </c>
      <c r="H189" t="str">
        <f>VLOOKUP(Tableau65[[#This Row],[Utilisateur]],Tableau3[[Prenoms (ID)]:[Localisation]],2,FALSE)</f>
        <v>Optique / Sata</v>
      </c>
      <c r="I189" t="str">
        <f>VLOOKUP(Tableau65[[#This Row],[Utilisateur]],Tableau3[[Prenoms (ID)]:[Localisation]],3,FALSE)</f>
        <v>BNI1</v>
      </c>
      <c r="J189">
        <f>VLOOKUP(Tableau65[[#This Row],[Utilisateur]],Tableau3[[Prenoms (ID)]:[CABINET]],4,FALSE)</f>
        <v>0</v>
      </c>
    </row>
    <row r="190" spans="1:13" x14ac:dyDescent="0.25">
      <c r="A190" s="2">
        <v>45456</v>
      </c>
      <c r="B190" t="s">
        <v>52</v>
      </c>
      <c r="C190" s="57">
        <v>1</v>
      </c>
      <c r="D190" t="s">
        <v>49</v>
      </c>
      <c r="G190" t="s">
        <v>468</v>
      </c>
      <c r="H190" t="str">
        <f>VLOOKUP(Tableau65[[#This Row],[Utilisateur]],Tableau3[[Prenoms (ID)]:[Localisation]],2,FALSE)</f>
        <v>Paie</v>
      </c>
      <c r="I190" t="str">
        <f>VLOOKUP(Tableau65[[#This Row],[Utilisateur]],Tableau3[[Prenoms (ID)]:[Localisation]],3,FALSE)</f>
        <v>BNI1</v>
      </c>
      <c r="J190">
        <f>VLOOKUP(Tableau65[[#This Row],[Utilisateur]],Tableau3[[Prenoms (ID)]:[CABINET]],4,FALSE)</f>
        <v>0</v>
      </c>
    </row>
    <row r="191" spans="1:13" x14ac:dyDescent="0.25">
      <c r="A191" s="2">
        <v>45457</v>
      </c>
      <c r="B191" t="s">
        <v>52</v>
      </c>
      <c r="C191" s="57">
        <v>1</v>
      </c>
      <c r="D191" t="s">
        <v>49</v>
      </c>
      <c r="G191" t="s">
        <v>260</v>
      </c>
      <c r="H191" t="str">
        <f>VLOOKUP(Tableau65[[#This Row],[Utilisateur]],Tableau3[[Prenoms (ID)]:[Localisation]],2,FALSE)</f>
        <v>Audit CPA</v>
      </c>
      <c r="I191" t="str">
        <f>VLOOKUP(Tableau65[[#This Row],[Utilisateur]],Tableau3[[Prenoms (ID)]:[Localisation]],3,FALSE)</f>
        <v>AUDIT-CPA</v>
      </c>
      <c r="J191" t="str">
        <f>VLOOKUP(Tableau65[[#This Row],[Utilisateur]],Tableau3[[Prenoms (ID)]:[CABINET]],4,FALSE)</f>
        <v>CPA</v>
      </c>
    </row>
    <row r="192" spans="1:13" x14ac:dyDescent="0.25">
      <c r="A192" s="2">
        <v>45457</v>
      </c>
      <c r="B192" t="s">
        <v>52</v>
      </c>
      <c r="C192" s="57">
        <v>1</v>
      </c>
      <c r="D192" t="s">
        <v>49</v>
      </c>
      <c r="G192" t="s">
        <v>390</v>
      </c>
      <c r="H192" t="str">
        <f>VLOOKUP(Tableau65[[#This Row],[Utilisateur]],Tableau3[[Prenoms (ID)]:[Localisation]],2,FALSE)</f>
        <v>Audit CPA</v>
      </c>
      <c r="I192" t="str">
        <f>VLOOKUP(Tableau65[[#This Row],[Utilisateur]],Tableau3[[Prenoms (ID)]:[Localisation]],3,FALSE)</f>
        <v>AUDIT-CPA</v>
      </c>
      <c r="J192" t="str">
        <f>VLOOKUP(Tableau65[[#This Row],[Utilisateur]],Tableau3[[Prenoms (ID)]:[CABINET]],4,FALSE)</f>
        <v>CPA</v>
      </c>
    </row>
    <row r="193" spans="1:13" x14ac:dyDescent="0.25">
      <c r="A193" s="2">
        <v>45457</v>
      </c>
      <c r="B193" t="s">
        <v>52</v>
      </c>
      <c r="C193" s="57">
        <v>1</v>
      </c>
      <c r="D193" t="s">
        <v>49</v>
      </c>
      <c r="G193" t="s">
        <v>316</v>
      </c>
      <c r="H193" t="str">
        <f>VLOOKUP(Tableau65[[#This Row],[Utilisateur]],Tableau3[[Prenoms (ID)]:[Localisation]],2,FALSE)</f>
        <v>Audit CPA</v>
      </c>
      <c r="I193" t="str">
        <f>VLOOKUP(Tableau65[[#This Row],[Utilisateur]],Tableau3[[Prenoms (ID)]:[Localisation]],3,FALSE)</f>
        <v>AUDIT-CPA</v>
      </c>
      <c r="J193" t="str">
        <f>VLOOKUP(Tableau65[[#This Row],[Utilisateur]],Tableau3[[Prenoms (ID)]:[CABINET]],4,FALSE)</f>
        <v>CPA</v>
      </c>
    </row>
    <row r="194" spans="1:13" x14ac:dyDescent="0.25">
      <c r="A194" s="2">
        <v>45457</v>
      </c>
      <c r="B194" t="s">
        <v>54</v>
      </c>
      <c r="C194" s="6">
        <v>1</v>
      </c>
      <c r="D194" t="s">
        <v>49</v>
      </c>
      <c r="G194" t="s">
        <v>469</v>
      </c>
      <c r="H194" t="str">
        <f>VLOOKUP(Tableau65[[#This Row],[Utilisateur]],Tableau3[[Prenoms (ID)]:[Localisation]],2,FALSE)</f>
        <v>-</v>
      </c>
      <c r="I194" t="str">
        <f>VLOOKUP(Tableau65[[#This Row],[Utilisateur]],Tableau3[[Prenoms (ID)]:[Localisation]],3,FALSE)</f>
        <v>BIRA</v>
      </c>
      <c r="J194" t="str">
        <f>VLOOKUP(Tableau65[[#This Row],[Utilisateur]],Tableau3[[Prenoms (ID)]:[CABINET]],4,FALSE)</f>
        <v>CPA</v>
      </c>
      <c r="M194" t="s">
        <v>470</v>
      </c>
    </row>
    <row r="195" spans="1:13" x14ac:dyDescent="0.25">
      <c r="A195" s="2">
        <v>45457</v>
      </c>
      <c r="B195" t="s">
        <v>52</v>
      </c>
      <c r="C195" s="57">
        <v>1</v>
      </c>
      <c r="D195" t="s">
        <v>49</v>
      </c>
      <c r="G195" t="s">
        <v>471</v>
      </c>
      <c r="H195" t="str">
        <f>VLOOKUP(Tableau65[[#This Row],[Utilisateur]],Tableau3[[Prenoms (ID)]:[Localisation]],2,FALSE)</f>
        <v>Audit CPA</v>
      </c>
      <c r="I195" t="str">
        <f>VLOOKUP(Tableau65[[#This Row],[Utilisateur]],Tableau3[[Prenoms (ID)]:[Localisation]],3,FALSE)</f>
        <v>AUDIT-CPA</v>
      </c>
      <c r="J195" t="str">
        <f>VLOOKUP(Tableau65[[#This Row],[Utilisateur]],Tableau3[[Prenoms (ID)]:[CABINET]],4,FALSE)</f>
        <v>CPA</v>
      </c>
    </row>
    <row r="196" spans="1:13" x14ac:dyDescent="0.25">
      <c r="A196" s="2">
        <v>45457</v>
      </c>
      <c r="B196" t="s">
        <v>52</v>
      </c>
      <c r="C196" s="57">
        <v>1</v>
      </c>
      <c r="D196" t="s">
        <v>49</v>
      </c>
      <c r="G196" t="s">
        <v>472</v>
      </c>
      <c r="H196" t="str">
        <f>VLOOKUP(Tableau65[[#This Row],[Utilisateur]],Tableau3[[Prenoms (ID)]:[Localisation]],2,FALSE)</f>
        <v>Audit CPA</v>
      </c>
      <c r="I196" t="str">
        <f>VLOOKUP(Tableau65[[#This Row],[Utilisateur]],Tableau3[[Prenoms (ID)]:[Localisation]],3,FALSE)</f>
        <v>AUDIT-CPA</v>
      </c>
      <c r="J196" t="str">
        <f>VLOOKUP(Tableau65[[#This Row],[Utilisateur]],Tableau3[[Prenoms (ID)]:[CABINET]],4,FALSE)</f>
        <v>CPA</v>
      </c>
    </row>
    <row r="197" spans="1:13" x14ac:dyDescent="0.25">
      <c r="A197" s="2">
        <v>45460</v>
      </c>
      <c r="B197" t="s">
        <v>139</v>
      </c>
      <c r="C197" s="6">
        <v>1</v>
      </c>
      <c r="D197" t="s">
        <v>49</v>
      </c>
      <c r="G197" t="s">
        <v>438</v>
      </c>
      <c r="H197" t="str">
        <f>VLOOKUP(Tableau65[[#This Row],[Utilisateur]],Tableau3[[Prenoms (ID)]:[Localisation]],2,FALSE)</f>
        <v>Optique / Sata</v>
      </c>
      <c r="I197" t="str">
        <f>VLOOKUP(Tableau65[[#This Row],[Utilisateur]],Tableau3[[Prenoms (ID)]:[Localisation]],3,FALSE)</f>
        <v>BNI1</v>
      </c>
      <c r="J197">
        <f>VLOOKUP(Tableau65[[#This Row],[Utilisateur]],Tableau3[[Prenoms (ID)]:[CABINET]],4,FALSE)</f>
        <v>0</v>
      </c>
    </row>
    <row r="198" spans="1:13" x14ac:dyDescent="0.25">
      <c r="A198" s="2">
        <v>45460</v>
      </c>
      <c r="B198" t="s">
        <v>52</v>
      </c>
      <c r="C198" s="57">
        <v>1</v>
      </c>
      <c r="D198" t="s">
        <v>49</v>
      </c>
      <c r="G198" t="s">
        <v>473</v>
      </c>
      <c r="H198" t="str">
        <f>VLOOKUP(Tableau65[[#This Row],[Utilisateur]],Tableau3[[Prenoms (ID)]:[Localisation]],2,FALSE)</f>
        <v>Optique / Mirado</v>
      </c>
      <c r="I198" t="str">
        <f>VLOOKUP(Tableau65[[#This Row],[Utilisateur]],Tableau3[[Prenoms (ID)]:[Localisation]],3,FALSE)</f>
        <v>BNI1</v>
      </c>
      <c r="J198">
        <f>VLOOKUP(Tableau65[[#This Row],[Utilisateur]],Tableau3[[Prenoms (ID)]:[CABINET]],4,FALSE)</f>
        <v>0</v>
      </c>
    </row>
    <row r="199" spans="1:13" x14ac:dyDescent="0.25">
      <c r="A199" s="2">
        <v>45460</v>
      </c>
      <c r="B199" t="s">
        <v>52</v>
      </c>
      <c r="C199" s="57">
        <v>1</v>
      </c>
      <c r="D199" t="s">
        <v>49</v>
      </c>
      <c r="G199" t="s">
        <v>360</v>
      </c>
      <c r="H199" t="str">
        <f>VLOOKUP(Tableau65[[#This Row],[Utilisateur]],Tableau3[[Prenoms (ID)]:[Localisation]],2,FALSE)</f>
        <v>Optique / Mirado</v>
      </c>
      <c r="I199" t="str">
        <f>VLOOKUP(Tableau65[[#This Row],[Utilisateur]],Tableau3[[Prenoms (ID)]:[Localisation]],3,FALSE)</f>
        <v>BNI1</v>
      </c>
      <c r="J199">
        <f>VLOOKUP(Tableau65[[#This Row],[Utilisateur]],Tableau3[[Prenoms (ID)]:[CABINET]],4,FALSE)</f>
        <v>0</v>
      </c>
    </row>
    <row r="200" spans="1:13" x14ac:dyDescent="0.25">
      <c r="A200" s="2">
        <v>45461</v>
      </c>
      <c r="B200" t="s">
        <v>64</v>
      </c>
      <c r="C200" s="6">
        <v>1</v>
      </c>
      <c r="D200" t="s">
        <v>49</v>
      </c>
      <c r="G200" t="s">
        <v>474</v>
      </c>
      <c r="H200" t="str">
        <f>VLOOKUP(Tableau65[[#This Row],[Utilisateur]],Tableau3[[Prenoms (ID)]:[Localisation]],2,FALSE)</f>
        <v>Audit CPA</v>
      </c>
      <c r="I200" t="str">
        <f>VLOOKUP(Tableau65[[#This Row],[Utilisateur]],Tableau3[[Prenoms (ID)]:[Localisation]],3,FALSE)</f>
        <v>AUDIT-CPA</v>
      </c>
      <c r="J200" t="str">
        <f>VLOOKUP(Tableau65[[#This Row],[Utilisateur]],Tableau3[[Prenoms (ID)]:[CABINET]],4,FALSE)</f>
        <v>CPA</v>
      </c>
    </row>
    <row r="201" spans="1:13" x14ac:dyDescent="0.25">
      <c r="A201" s="2">
        <v>45461</v>
      </c>
      <c r="B201" t="s">
        <v>52</v>
      </c>
      <c r="C201" s="57">
        <v>1</v>
      </c>
      <c r="D201" t="s">
        <v>49</v>
      </c>
      <c r="G201" t="s">
        <v>475</v>
      </c>
      <c r="H201" t="str">
        <f>VLOOKUP(Tableau65[[#This Row],[Utilisateur]],Tableau3[[Prenoms (ID)]:[Localisation]],2,FALSE)</f>
        <v>Cecca etoile</v>
      </c>
      <c r="I201" t="str">
        <f>VLOOKUP(Tableau65[[#This Row],[Utilisateur]],Tableau3[[Prenoms (ID)]:[Localisation]],3,FALSE)</f>
        <v>BNI1</v>
      </c>
      <c r="J201">
        <f>VLOOKUP(Tableau65[[#This Row],[Utilisateur]],Tableau3[[Prenoms (ID)]:[CABINET]],4,FALSE)</f>
        <v>0</v>
      </c>
    </row>
    <row r="202" spans="1:13" x14ac:dyDescent="0.25">
      <c r="A202" s="2">
        <v>45462</v>
      </c>
      <c r="B202" t="s">
        <v>52</v>
      </c>
      <c r="C202" s="57">
        <v>1</v>
      </c>
      <c r="D202" t="s">
        <v>49</v>
      </c>
      <c r="G202" t="s">
        <v>348</v>
      </c>
      <c r="H202" t="str">
        <f>VLOOKUP(Tableau65[[#This Row],[Utilisateur]],Tableau3[[Prenoms (ID)]:[Localisation]],2,FALSE)</f>
        <v>Cecca rueil</v>
      </c>
      <c r="I202" t="str">
        <f>VLOOKUP(Tableau65[[#This Row],[Utilisateur]],Tableau3[[Prenoms (ID)]:[Localisation]],3,FALSE)</f>
        <v>BNI1</v>
      </c>
      <c r="J202">
        <f>VLOOKUP(Tableau65[[#This Row],[Utilisateur]],Tableau3[[Prenoms (ID)]:[CABINET]],4,FALSE)</f>
        <v>0</v>
      </c>
    </row>
    <row r="203" spans="1:13" x14ac:dyDescent="0.25">
      <c r="A203" s="2">
        <v>45464</v>
      </c>
      <c r="B203" t="s">
        <v>58</v>
      </c>
      <c r="C203" s="6">
        <v>1</v>
      </c>
      <c r="D203" t="s">
        <v>49</v>
      </c>
      <c r="G203" t="s">
        <v>476</v>
      </c>
      <c r="H203" t="str">
        <f>VLOOKUP(Tableau65[[#This Row],[Utilisateur]],Tableau3[[Prenoms (ID)]:[Localisation]],2,FALSE)</f>
        <v>Audit CPA</v>
      </c>
      <c r="I203" t="str">
        <f>VLOOKUP(Tableau65[[#This Row],[Utilisateur]],Tableau3[[Prenoms (ID)]:[Localisation]],3,FALSE)</f>
        <v>AUDIT-CPA</v>
      </c>
      <c r="J203" t="str">
        <f>VLOOKUP(Tableau65[[#This Row],[Utilisateur]],Tableau3[[Prenoms (ID)]:[CABINET]],4,FALSE)</f>
        <v>CPA</v>
      </c>
    </row>
    <row r="204" spans="1:13" x14ac:dyDescent="0.25">
      <c r="A204" s="2">
        <v>45464</v>
      </c>
      <c r="B204" t="s">
        <v>58</v>
      </c>
      <c r="C204" s="6">
        <v>1</v>
      </c>
      <c r="D204" t="s">
        <v>49</v>
      </c>
      <c r="G204" t="s">
        <v>407</v>
      </c>
      <c r="H204" t="str">
        <f>VLOOKUP(Tableau65[[#This Row],[Utilisateur]],Tableau3[[Prenoms (ID)]:[Localisation]],2,FALSE)</f>
        <v>QUALITE</v>
      </c>
      <c r="I204" t="str">
        <f>VLOOKUP(Tableau65[[#This Row],[Utilisateur]],Tableau3[[Prenoms (ID)]:[Localisation]],3,FALSE)</f>
        <v>CENTRE</v>
      </c>
      <c r="J204">
        <f>VLOOKUP(Tableau65[[#This Row],[Utilisateur]],Tableau3[[Prenoms (ID)]:[CABINET]],4,FALSE)</f>
        <v>0</v>
      </c>
    </row>
    <row r="205" spans="1:13" x14ac:dyDescent="0.25">
      <c r="A205" s="2">
        <v>45412</v>
      </c>
      <c r="B205" t="s">
        <v>24</v>
      </c>
      <c r="C205" s="6">
        <v>1</v>
      </c>
      <c r="D205" t="s">
        <v>49</v>
      </c>
      <c r="G205" t="s">
        <v>477</v>
      </c>
      <c r="H205" t="str">
        <f>VLOOKUP(Tableau65[[#This Row],[Utilisateur]],Tableau3[[Prenoms (ID)]:[Localisation]],2,FALSE)</f>
        <v>Xperia</v>
      </c>
      <c r="I205" t="str">
        <f>VLOOKUP(Tableau65[[#This Row],[Utilisateur]],Tableau3[[Prenoms (ID)]:[Localisation]],3,FALSE)</f>
        <v>SOCIAL</v>
      </c>
      <c r="J205">
        <f>VLOOKUP(Tableau65[[#This Row],[Utilisateur]],Tableau3[[Prenoms (ID)]:[CABINET]],4,FALSE)</f>
        <v>0</v>
      </c>
    </row>
    <row r="206" spans="1:13" x14ac:dyDescent="0.25">
      <c r="A206" s="2">
        <v>45464</v>
      </c>
      <c r="B206" t="s">
        <v>34</v>
      </c>
      <c r="C206" s="6">
        <v>1</v>
      </c>
      <c r="D206" t="s">
        <v>49</v>
      </c>
      <c r="G206" t="s">
        <v>402</v>
      </c>
      <c r="H206" t="str">
        <f>VLOOKUP(Tableau65[[#This Row],[Utilisateur]],Tableau3[[Prenoms (ID)]:[Localisation]],2,FALSE)</f>
        <v>Optique / Sata</v>
      </c>
      <c r="I206" t="str">
        <f>VLOOKUP(Tableau65[[#This Row],[Utilisateur]],Tableau3[[Prenoms (ID)]:[Localisation]],3,FALSE)</f>
        <v>BNI1</v>
      </c>
      <c r="J206">
        <f>VLOOKUP(Tableau65[[#This Row],[Utilisateur]],Tableau3[[Prenoms (ID)]:[CABINET]],4,FALSE)</f>
        <v>0</v>
      </c>
    </row>
    <row r="207" spans="1:13" x14ac:dyDescent="0.25">
      <c r="A207" s="2">
        <v>45464</v>
      </c>
      <c r="B207" t="s">
        <v>34</v>
      </c>
      <c r="C207" s="6">
        <v>1</v>
      </c>
      <c r="D207" t="s">
        <v>49</v>
      </c>
      <c r="G207" t="s">
        <v>478</v>
      </c>
      <c r="H207" t="str">
        <f>VLOOKUP(Tableau65[[#This Row],[Utilisateur]],Tableau3[[Prenoms (ID)]:[Localisation]],2,FALSE)</f>
        <v>Apprenti</v>
      </c>
      <c r="I207" t="str">
        <f>VLOOKUP(Tableau65[[#This Row],[Utilisateur]],Tableau3[[Prenoms (ID)]:[Localisation]],3,FALSE)</f>
        <v>-</v>
      </c>
      <c r="J207">
        <f>VLOOKUP(Tableau65[[#This Row],[Utilisateur]],Tableau3[[Prenoms (ID)]:[CABINET]],4,FALSE)</f>
        <v>0</v>
      </c>
    </row>
    <row r="208" spans="1:13" x14ac:dyDescent="0.25">
      <c r="A208" s="2">
        <v>45464</v>
      </c>
      <c r="B208" t="s">
        <v>34</v>
      </c>
      <c r="C208" s="6">
        <v>1</v>
      </c>
      <c r="D208" t="s">
        <v>49</v>
      </c>
      <c r="G208" t="s">
        <v>420</v>
      </c>
      <c r="H208" t="str">
        <f>VLOOKUP(Tableau65[[#This Row],[Utilisateur]],Tableau3[[Prenoms (ID)]:[Localisation]],2,FALSE)</f>
        <v>RECCI / Njato Be</v>
      </c>
      <c r="I208" t="str">
        <f>VLOOKUP(Tableau65[[#This Row],[Utilisateur]],Tableau3[[Prenoms (ID)]:[Localisation]],3,FALSE)</f>
        <v>BNI2</v>
      </c>
      <c r="J208">
        <f>VLOOKUP(Tableau65[[#This Row],[Utilisateur]],Tableau3[[Prenoms (ID)]:[CABINET]],4,FALSE)</f>
        <v>0</v>
      </c>
    </row>
    <row r="209" spans="1:10" x14ac:dyDescent="0.25">
      <c r="A209" s="2">
        <v>45464</v>
      </c>
      <c r="B209" t="s">
        <v>34</v>
      </c>
      <c r="C209" s="6">
        <v>1</v>
      </c>
      <c r="D209" t="s">
        <v>49</v>
      </c>
      <c r="G209" t="s">
        <v>479</v>
      </c>
      <c r="H209" t="str">
        <f>VLOOKUP(Tableau65[[#This Row],[Utilisateur]],Tableau3[[Prenoms (ID)]:[Localisation]],2,FALSE)</f>
        <v>Juridique</v>
      </c>
      <c r="I209" t="str">
        <f>VLOOKUP(Tableau65[[#This Row],[Utilisateur]],Tableau3[[Prenoms (ID)]:[Localisation]],3,FALSE)</f>
        <v>BNI2</v>
      </c>
      <c r="J209">
        <f>VLOOKUP(Tableau65[[#This Row],[Utilisateur]],Tableau3[[Prenoms (ID)]:[CABINET]],4,FALSE)</f>
        <v>0</v>
      </c>
    </row>
    <row r="210" spans="1:10" x14ac:dyDescent="0.25">
      <c r="A210" s="2">
        <v>45464</v>
      </c>
      <c r="B210" t="s">
        <v>34</v>
      </c>
      <c r="C210" s="6">
        <v>1</v>
      </c>
      <c r="D210" t="s">
        <v>49</v>
      </c>
      <c r="G210" t="s">
        <v>480</v>
      </c>
      <c r="H210" t="str">
        <f>VLOOKUP(Tableau65[[#This Row],[Utilisateur]],Tableau3[[Prenoms (ID)]:[Localisation]],2,FALSE)</f>
        <v>Exaulia</v>
      </c>
      <c r="I210" t="str">
        <f>VLOOKUP(Tableau65[[#This Row],[Utilisateur]],Tableau3[[Prenoms (ID)]:[Localisation]],3,FALSE)</f>
        <v>BNI1</v>
      </c>
      <c r="J210">
        <f>VLOOKUP(Tableau65[[#This Row],[Utilisateur]],Tableau3[[Prenoms (ID)]:[CABINET]],4,FALSE)</f>
        <v>0</v>
      </c>
    </row>
    <row r="211" spans="1:10" x14ac:dyDescent="0.25">
      <c r="A211" s="2">
        <v>45464</v>
      </c>
      <c r="B211" t="s">
        <v>34</v>
      </c>
      <c r="C211" s="6">
        <v>1</v>
      </c>
      <c r="D211" t="s">
        <v>49</v>
      </c>
      <c r="G211" t="s">
        <v>481</v>
      </c>
      <c r="H211" t="str">
        <f>VLOOKUP(Tableau65[[#This Row],[Utilisateur]],Tableau3[[Prenoms (ID)]:[Localisation]],2,FALSE)</f>
        <v>Cecca rueil</v>
      </c>
      <c r="I211" t="str">
        <f>VLOOKUP(Tableau65[[#This Row],[Utilisateur]],Tableau3[[Prenoms (ID)]:[Localisation]],3,FALSE)</f>
        <v>BNI1</v>
      </c>
      <c r="J211">
        <f>VLOOKUP(Tableau65[[#This Row],[Utilisateur]],Tableau3[[Prenoms (ID)]:[CABINET]],4,FALSE)</f>
        <v>0</v>
      </c>
    </row>
    <row r="212" spans="1:10" x14ac:dyDescent="0.25">
      <c r="A212" s="2">
        <v>45464</v>
      </c>
      <c r="B212" t="s">
        <v>34</v>
      </c>
      <c r="C212" s="6">
        <v>1</v>
      </c>
      <c r="D212" t="s">
        <v>49</v>
      </c>
      <c r="G212" t="s">
        <v>363</v>
      </c>
      <c r="H212" t="str">
        <f>VLOOKUP(Tableau65[[#This Row],[Utilisateur]],Tableau3[[Prenoms (ID)]:[Localisation]],2,FALSE)</f>
        <v>Apprenti</v>
      </c>
      <c r="I212" t="str">
        <f>VLOOKUP(Tableau65[[#This Row],[Utilisateur]],Tableau3[[Prenoms (ID)]:[Localisation]],3,FALSE)</f>
        <v>-</v>
      </c>
      <c r="J212">
        <f>VLOOKUP(Tableau65[[#This Row],[Utilisateur]],Tableau3[[Prenoms (ID)]:[CABINET]],4,FALSE)</f>
        <v>0</v>
      </c>
    </row>
    <row r="213" spans="1:10" x14ac:dyDescent="0.25">
      <c r="A213" s="2">
        <v>45464</v>
      </c>
      <c r="B213" t="s">
        <v>34</v>
      </c>
      <c r="C213" s="6">
        <v>1</v>
      </c>
      <c r="D213" t="s">
        <v>49</v>
      </c>
      <c r="G213" t="s">
        <v>362</v>
      </c>
      <c r="H213" t="str">
        <f>VLOOKUP(Tableau65[[#This Row],[Utilisateur]],Tableau3[[Prenoms (ID)]:[Localisation]],2,FALSE)</f>
        <v>Optique / Mirado</v>
      </c>
      <c r="I213" t="str">
        <f>VLOOKUP(Tableau65[[#This Row],[Utilisateur]],Tableau3[[Prenoms (ID)]:[Localisation]],3,FALSE)</f>
        <v>BNI1</v>
      </c>
      <c r="J213">
        <f>VLOOKUP(Tableau65[[#This Row],[Utilisateur]],Tableau3[[Prenoms (ID)]:[CABINET]],4,FALSE)</f>
        <v>0</v>
      </c>
    </row>
    <row r="214" spans="1:10" x14ac:dyDescent="0.25">
      <c r="A214" s="2">
        <v>45464</v>
      </c>
      <c r="B214" t="s">
        <v>34</v>
      </c>
      <c r="C214" s="6">
        <v>1</v>
      </c>
      <c r="D214" t="s">
        <v>49</v>
      </c>
      <c r="G214" t="s">
        <v>482</v>
      </c>
      <c r="H214" t="str">
        <f>VLOOKUP(Tableau65[[#This Row],[Utilisateur]],Tableau3[[Prenoms (ID)]:[Localisation]],2,FALSE)</f>
        <v>Eccentive</v>
      </c>
      <c r="I214" t="str">
        <f>VLOOKUP(Tableau65[[#This Row],[Utilisateur]],Tableau3[[Prenoms (ID)]:[Localisation]],3,FALSE)</f>
        <v>ECCENTIVE</v>
      </c>
      <c r="J214">
        <f>VLOOKUP(Tableau65[[#This Row],[Utilisateur]],Tableau3[[Prenoms (ID)]:[CABINET]],4,FALSE)</f>
        <v>0</v>
      </c>
    </row>
    <row r="215" spans="1:10" x14ac:dyDescent="0.25">
      <c r="A215" s="2">
        <v>45464</v>
      </c>
      <c r="B215" t="s">
        <v>34</v>
      </c>
      <c r="C215" s="6">
        <v>1</v>
      </c>
      <c r="D215" t="s">
        <v>49</v>
      </c>
      <c r="G215" t="s">
        <v>483</v>
      </c>
      <c r="H215" t="str">
        <f>VLOOKUP(Tableau65[[#This Row],[Utilisateur]],Tableau3[[Prenoms (ID)]:[Localisation]],2,FALSE)</f>
        <v>Optique / Sata</v>
      </c>
      <c r="I215" t="str">
        <f>VLOOKUP(Tableau65[[#This Row],[Utilisateur]],Tableau3[[Prenoms (ID)]:[Localisation]],3,FALSE)</f>
        <v>BNI1</v>
      </c>
      <c r="J215">
        <f>VLOOKUP(Tableau65[[#This Row],[Utilisateur]],Tableau3[[Prenoms (ID)]:[CABINET]],4,FALSE)</f>
        <v>0</v>
      </c>
    </row>
    <row r="216" spans="1:10" x14ac:dyDescent="0.25">
      <c r="A216" s="2">
        <v>45464</v>
      </c>
      <c r="B216" t="s">
        <v>34</v>
      </c>
      <c r="C216" s="6">
        <v>1</v>
      </c>
      <c r="D216" t="s">
        <v>49</v>
      </c>
      <c r="G216" t="s">
        <v>484</v>
      </c>
      <c r="H216" t="str">
        <f>VLOOKUP(Tableau65[[#This Row],[Utilisateur]],Tableau3[[Prenoms (ID)]:[Localisation]],2,FALSE)</f>
        <v>Info/Dev</v>
      </c>
      <c r="I216" t="str">
        <f>VLOOKUP(Tableau65[[#This Row],[Utilisateur]],Tableau3[[Prenoms (ID)]:[Localisation]],3,FALSE)</f>
        <v>Informatique</v>
      </c>
      <c r="J216">
        <f>VLOOKUP(Tableau65[[#This Row],[Utilisateur]],Tableau3[[Prenoms (ID)]:[CABINET]],4,FALSE)</f>
        <v>0</v>
      </c>
    </row>
    <row r="217" spans="1:10" x14ac:dyDescent="0.25">
      <c r="A217" s="2">
        <v>45464</v>
      </c>
      <c r="B217" t="s">
        <v>30</v>
      </c>
      <c r="C217" s="6">
        <v>1</v>
      </c>
      <c r="D217" t="s">
        <v>49</v>
      </c>
      <c r="G217" t="s">
        <v>485</v>
      </c>
      <c r="H217" t="str">
        <f>VLOOKUP(Tableau65[[#This Row],[Utilisateur]],Tableau3[[Prenoms (ID)]:[Localisation]],2,FALSE)</f>
        <v>Audit CPA</v>
      </c>
      <c r="I217" t="str">
        <f>VLOOKUP(Tableau65[[#This Row],[Utilisateur]],Tableau3[[Prenoms (ID)]:[Localisation]],3,FALSE)</f>
        <v>AUDIT-CPA</v>
      </c>
      <c r="J217" t="str">
        <f>VLOOKUP(Tableau65[[#This Row],[Utilisateur]],Tableau3[[Prenoms (ID)]:[CABINET]],4,FALSE)</f>
        <v>CPA</v>
      </c>
    </row>
    <row r="218" spans="1:10" x14ac:dyDescent="0.25">
      <c r="A218" s="2">
        <v>45464</v>
      </c>
      <c r="B218" t="s">
        <v>30</v>
      </c>
      <c r="C218" s="6">
        <v>1</v>
      </c>
      <c r="D218" t="s">
        <v>49</v>
      </c>
      <c r="G218" t="s">
        <v>486</v>
      </c>
      <c r="H218" t="str">
        <f>VLOOKUP(Tableau65[[#This Row],[Utilisateur]],Tableau3[[Prenoms (ID)]:[Localisation]],2,FALSE)</f>
        <v>Cecca etoile</v>
      </c>
      <c r="I218" t="str">
        <f>VLOOKUP(Tableau65[[#This Row],[Utilisateur]],Tableau3[[Prenoms (ID)]:[Localisation]],3,FALSE)</f>
        <v>BNI1</v>
      </c>
      <c r="J218">
        <f>VLOOKUP(Tableau65[[#This Row],[Utilisateur]],Tableau3[[Prenoms (ID)]:[CABINET]],4,FALSE)</f>
        <v>0</v>
      </c>
    </row>
    <row r="219" spans="1:10" x14ac:dyDescent="0.25">
      <c r="A219" s="2">
        <v>45464</v>
      </c>
      <c r="B219" t="s">
        <v>30</v>
      </c>
      <c r="C219" s="6">
        <v>1</v>
      </c>
      <c r="D219" t="s">
        <v>49</v>
      </c>
      <c r="G219" t="s">
        <v>487</v>
      </c>
      <c r="H219" t="str">
        <f>VLOOKUP(Tableau65[[#This Row],[Utilisateur]],Tableau3[[Prenoms (ID)]:[Localisation]],2,FALSE)</f>
        <v>Optique / Sata</v>
      </c>
      <c r="I219" t="str">
        <f>VLOOKUP(Tableau65[[#This Row],[Utilisateur]],Tableau3[[Prenoms (ID)]:[Localisation]],3,FALSE)</f>
        <v>BNI1</v>
      </c>
      <c r="J219">
        <f>VLOOKUP(Tableau65[[#This Row],[Utilisateur]],Tableau3[[Prenoms (ID)]:[CABINET]],4,FALSE)</f>
        <v>0</v>
      </c>
    </row>
    <row r="220" spans="1:10" x14ac:dyDescent="0.25">
      <c r="A220" s="2">
        <v>45464</v>
      </c>
      <c r="B220" t="s">
        <v>30</v>
      </c>
      <c r="C220" s="6">
        <v>1</v>
      </c>
      <c r="D220" t="s">
        <v>49</v>
      </c>
      <c r="G220" t="s">
        <v>488</v>
      </c>
      <c r="H220" t="str">
        <f>VLOOKUP(Tableau65[[#This Row],[Utilisateur]],Tableau3[[Prenoms (ID)]:[Localisation]],2,FALSE)</f>
        <v>Apprenti</v>
      </c>
      <c r="I220" t="str">
        <f>VLOOKUP(Tableau65[[#This Row],[Utilisateur]],Tableau3[[Prenoms (ID)]:[Localisation]],3,FALSE)</f>
        <v>-</v>
      </c>
      <c r="J220">
        <f>VLOOKUP(Tableau65[[#This Row],[Utilisateur]],Tableau3[[Prenoms (ID)]:[CABINET]],4,FALSE)</f>
        <v>0</v>
      </c>
    </row>
    <row r="221" spans="1:10" x14ac:dyDescent="0.25">
      <c r="A221" s="2">
        <v>45464</v>
      </c>
      <c r="B221" t="s">
        <v>30</v>
      </c>
      <c r="C221" s="6">
        <v>1</v>
      </c>
      <c r="D221" t="s">
        <v>49</v>
      </c>
      <c r="G221" t="s">
        <v>489</v>
      </c>
      <c r="H221" t="str">
        <f>VLOOKUP(Tableau65[[#This Row],[Utilisateur]],Tableau3[[Prenoms (ID)]:[Localisation]],2,FALSE)</f>
        <v>Optique / Sata</v>
      </c>
      <c r="I221" t="str">
        <f>VLOOKUP(Tableau65[[#This Row],[Utilisateur]],Tableau3[[Prenoms (ID)]:[Localisation]],3,FALSE)</f>
        <v>BNI1</v>
      </c>
      <c r="J221">
        <f>VLOOKUP(Tableau65[[#This Row],[Utilisateur]],Tableau3[[Prenoms (ID)]:[CABINET]],4,FALSE)</f>
        <v>0</v>
      </c>
    </row>
    <row r="222" spans="1:10" x14ac:dyDescent="0.25">
      <c r="A222" s="2">
        <v>45464</v>
      </c>
      <c r="B222" t="s">
        <v>30</v>
      </c>
      <c r="C222" s="6">
        <v>1</v>
      </c>
      <c r="D222" t="s">
        <v>49</v>
      </c>
      <c r="G222" t="s">
        <v>354</v>
      </c>
      <c r="H222" t="str">
        <f>VLOOKUP(Tableau65[[#This Row],[Utilisateur]],Tableau3[[Prenoms (ID)]:[Localisation]],2,FALSE)</f>
        <v>RECCI / Lalaina</v>
      </c>
      <c r="I222" t="str">
        <f>VLOOKUP(Tableau65[[#This Row],[Utilisateur]],Tableau3[[Prenoms (ID)]:[Localisation]],3,FALSE)</f>
        <v>BNI2</v>
      </c>
      <c r="J222">
        <f>VLOOKUP(Tableau65[[#This Row],[Utilisateur]],Tableau3[[Prenoms (ID)]:[CABINET]],4,FALSE)</f>
        <v>0</v>
      </c>
    </row>
    <row r="223" spans="1:10" x14ac:dyDescent="0.25">
      <c r="A223" s="2">
        <v>45464</v>
      </c>
      <c r="B223" t="s">
        <v>22</v>
      </c>
      <c r="C223" s="6">
        <v>1</v>
      </c>
      <c r="D223" t="s">
        <v>49</v>
      </c>
      <c r="G223" t="s">
        <v>368</v>
      </c>
      <c r="H223" t="str">
        <f>VLOOKUP(Tableau65[[#This Row],[Utilisateur]],Tableau3[[Prenoms (ID)]:[Localisation]],2,FALSE)</f>
        <v>Optique / Sata</v>
      </c>
      <c r="I223" t="str">
        <f>VLOOKUP(Tableau65[[#This Row],[Utilisateur]],Tableau3[[Prenoms (ID)]:[Localisation]],3,FALSE)</f>
        <v>BNI1</v>
      </c>
      <c r="J223" t="str">
        <f>VLOOKUP(Tableau65[[#This Row],[Utilisateur]],Tableau3[[Prenoms (ID)]:[CABINET]],4,FALSE)</f>
        <v>RFC</v>
      </c>
    </row>
    <row r="224" spans="1:10" x14ac:dyDescent="0.25">
      <c r="A224" s="2">
        <v>45464</v>
      </c>
      <c r="B224" t="s">
        <v>22</v>
      </c>
      <c r="C224" s="6">
        <v>1</v>
      </c>
      <c r="D224" t="s">
        <v>49</v>
      </c>
      <c r="G224" t="s">
        <v>489</v>
      </c>
      <c r="H224" t="str">
        <f>VLOOKUP(Tableau65[[#This Row],[Utilisateur]],Tableau3[[Prenoms (ID)]:[Localisation]],2,FALSE)</f>
        <v>Optique / Sata</v>
      </c>
      <c r="I224" t="str">
        <f>VLOOKUP(Tableau65[[#This Row],[Utilisateur]],Tableau3[[Prenoms (ID)]:[Localisation]],3,FALSE)</f>
        <v>BNI1</v>
      </c>
      <c r="J224">
        <f>VLOOKUP(Tableau65[[#This Row],[Utilisateur]],Tableau3[[Prenoms (ID)]:[CABINET]],4,FALSE)</f>
        <v>0</v>
      </c>
    </row>
    <row r="225" spans="1:13" x14ac:dyDescent="0.25">
      <c r="A225" s="2">
        <v>45464</v>
      </c>
      <c r="B225" t="s">
        <v>22</v>
      </c>
      <c r="C225" s="6">
        <v>1</v>
      </c>
      <c r="D225" t="s">
        <v>49</v>
      </c>
      <c r="G225" t="s">
        <v>317</v>
      </c>
      <c r="H225" t="str">
        <f>VLOOKUP(Tableau65[[#This Row],[Utilisateur]],Tableau3[[Prenoms (ID)]:[Localisation]],2,FALSE)</f>
        <v>Informatique</v>
      </c>
      <c r="I225">
        <f>VLOOKUP(Tableau65[[#This Row],[Utilisateur]],Tableau3[[Prenoms (ID)]:[Localisation]],3,FALSE)</f>
        <v>0</v>
      </c>
      <c r="J225">
        <f>VLOOKUP(Tableau65[[#This Row],[Utilisateur]],Tableau3[[Prenoms (ID)]:[CABINET]],4,FALSE)</f>
        <v>0</v>
      </c>
    </row>
    <row r="226" spans="1:13" x14ac:dyDescent="0.25">
      <c r="A226" s="2">
        <v>45464</v>
      </c>
      <c r="B226" t="s">
        <v>22</v>
      </c>
      <c r="C226" s="6">
        <v>1</v>
      </c>
      <c r="D226" t="s">
        <v>49</v>
      </c>
      <c r="G226" t="s">
        <v>395</v>
      </c>
      <c r="H226" t="str">
        <f>VLOOKUP(Tableau65[[#This Row],[Utilisateur]],Tableau3[[Prenoms (ID)]:[Localisation]],2,FALSE)</f>
        <v>RECCI SAV</v>
      </c>
      <c r="I226" t="str">
        <f>VLOOKUP(Tableau65[[#This Row],[Utilisateur]],Tableau3[[Prenoms (ID)]:[Localisation]],3,FALSE)</f>
        <v>BNI2</v>
      </c>
      <c r="J226">
        <f>VLOOKUP(Tableau65[[#This Row],[Utilisateur]],Tableau3[[Prenoms (ID)]:[CABINET]],4,FALSE)</f>
        <v>0</v>
      </c>
    </row>
    <row r="227" spans="1:13" x14ac:dyDescent="0.25">
      <c r="A227" s="2">
        <v>45464</v>
      </c>
      <c r="B227" t="s">
        <v>34</v>
      </c>
      <c r="C227" s="6">
        <v>1</v>
      </c>
      <c r="D227" t="s">
        <v>49</v>
      </c>
      <c r="G227" t="s">
        <v>390</v>
      </c>
      <c r="H227" t="str">
        <f>VLOOKUP(Tableau65[[#This Row],[Utilisateur]],Tableau3[[Prenoms (ID)]:[Localisation]],2,FALSE)</f>
        <v>Audit CPA</v>
      </c>
      <c r="I227" t="str">
        <f>VLOOKUP(Tableau65[[#This Row],[Utilisateur]],Tableau3[[Prenoms (ID)]:[Localisation]],3,FALSE)</f>
        <v>AUDIT-CPA</v>
      </c>
      <c r="J227" t="str">
        <f>VLOOKUP(Tableau65[[#This Row],[Utilisateur]],Tableau3[[Prenoms (ID)]:[CABINET]],4,FALSE)</f>
        <v>CPA</v>
      </c>
    </row>
    <row r="228" spans="1:13" x14ac:dyDescent="0.25">
      <c r="A228" s="2">
        <v>45464</v>
      </c>
      <c r="B228" t="s">
        <v>34</v>
      </c>
      <c r="C228" s="6">
        <v>1</v>
      </c>
      <c r="D228" t="s">
        <v>49</v>
      </c>
      <c r="G228" t="s">
        <v>454</v>
      </c>
      <c r="H228" t="str">
        <f>VLOOKUP(Tableau65[[#This Row],[Utilisateur]],Tableau3[[Prenoms (ID)]:[Localisation]],2,FALSE)</f>
        <v>Xperia</v>
      </c>
      <c r="I228" t="str">
        <f>VLOOKUP(Tableau65[[#This Row],[Utilisateur]],Tableau3[[Prenoms (ID)]:[Localisation]],3,FALSE)</f>
        <v>ARSAC</v>
      </c>
      <c r="J228">
        <f>VLOOKUP(Tableau65[[#This Row],[Utilisateur]],Tableau3[[Prenoms (ID)]:[CABINET]],4,FALSE)</f>
        <v>0</v>
      </c>
    </row>
    <row r="229" spans="1:13" x14ac:dyDescent="0.25">
      <c r="A229" s="2">
        <v>45464</v>
      </c>
      <c r="B229" t="s">
        <v>34</v>
      </c>
      <c r="C229" s="6">
        <v>1</v>
      </c>
      <c r="D229" t="s">
        <v>49</v>
      </c>
      <c r="G229" t="s">
        <v>490</v>
      </c>
      <c r="H229" t="str">
        <f>VLOOKUP(Tableau65[[#This Row],[Utilisateur]],Tableau3[[Prenoms (ID)]:[Localisation]],2,FALSE)</f>
        <v>Audit CPA</v>
      </c>
      <c r="I229" t="str">
        <f>VLOOKUP(Tableau65[[#This Row],[Utilisateur]],Tableau3[[Prenoms (ID)]:[Localisation]],3,FALSE)</f>
        <v>MADAFIT</v>
      </c>
      <c r="J229" t="str">
        <f>VLOOKUP(Tableau65[[#This Row],[Utilisateur]],Tableau3[[Prenoms (ID)]:[CABINET]],4,FALSE)</f>
        <v>CPA</v>
      </c>
    </row>
    <row r="230" spans="1:13" x14ac:dyDescent="0.25">
      <c r="A230" s="2">
        <v>45464</v>
      </c>
      <c r="B230" t="s">
        <v>34</v>
      </c>
      <c r="C230" s="6">
        <v>1</v>
      </c>
      <c r="D230" t="s">
        <v>49</v>
      </c>
      <c r="G230" t="s">
        <v>491</v>
      </c>
      <c r="H230" t="str">
        <f>VLOOKUP(Tableau65[[#This Row],[Utilisateur]],Tableau3[[Prenoms (ID)]:[Localisation]],2,FALSE)</f>
        <v>COMPTASTAR</v>
      </c>
      <c r="I230" t="str">
        <f>VLOOKUP(Tableau65[[#This Row],[Utilisateur]],Tableau3[[Prenoms (ID)]:[Localisation]],3,FALSE)</f>
        <v>COMPTASTAR</v>
      </c>
      <c r="J230" t="str">
        <f>VLOOKUP(Tableau65[[#This Row],[Utilisateur]],Tableau3[[Prenoms (ID)]:[CABINET]],4,FALSE)</f>
        <v>CPA</v>
      </c>
    </row>
    <row r="231" spans="1:13" x14ac:dyDescent="0.25">
      <c r="A231" s="2">
        <v>45464</v>
      </c>
      <c r="B231" t="s">
        <v>34</v>
      </c>
      <c r="C231" s="6">
        <v>1</v>
      </c>
      <c r="D231" t="s">
        <v>49</v>
      </c>
      <c r="G231" t="s">
        <v>87</v>
      </c>
      <c r="H231" t="str">
        <f>VLOOKUP(Tableau65[[#This Row],[Utilisateur]],Tableau3[[Prenoms (ID)]:[Localisation]],2,FALSE)</f>
        <v>Accefi</v>
      </c>
      <c r="I231" t="str">
        <f>VLOOKUP(Tableau65[[#This Row],[Utilisateur]],Tableau3[[Prenoms (ID)]:[Localisation]],3,FALSE)</f>
        <v>ACCEFI</v>
      </c>
      <c r="J231" t="str">
        <f>VLOOKUP(Tableau65[[#This Row],[Utilisateur]],Tableau3[[Prenoms (ID)]:[CABINET]],4,FALSE)</f>
        <v>CPA</v>
      </c>
    </row>
    <row r="232" spans="1:13" x14ac:dyDescent="0.25">
      <c r="A232" s="2">
        <v>45464</v>
      </c>
      <c r="B232" t="s">
        <v>91</v>
      </c>
      <c r="C232" s="6">
        <v>2</v>
      </c>
      <c r="D232" t="s">
        <v>49</v>
      </c>
      <c r="G232" t="s">
        <v>27</v>
      </c>
      <c r="H232">
        <f>VLOOKUP(Tableau65[[#This Row],[Utilisateur]],Tableau3[[Prenoms (ID)]:[Localisation]],2,FALSE)</f>
        <v>0</v>
      </c>
      <c r="I232" t="str">
        <f>VLOOKUP(Tableau65[[#This Row],[Utilisateur]],Tableau3[[Prenoms (ID)]:[Localisation]],3,FALSE)</f>
        <v>BIRA</v>
      </c>
      <c r="J232" t="str">
        <f>VLOOKUP(Tableau65[[#This Row],[Utilisateur]],Tableau3[[Prenoms (ID)]:[CABINET]],4,FALSE)</f>
        <v>CPA</v>
      </c>
    </row>
    <row r="233" spans="1:13" x14ac:dyDescent="0.25">
      <c r="A233" s="2">
        <v>45464</v>
      </c>
      <c r="B233" t="s">
        <v>30</v>
      </c>
      <c r="C233" s="6">
        <v>1</v>
      </c>
      <c r="D233" t="s">
        <v>49</v>
      </c>
      <c r="G233" t="s">
        <v>492</v>
      </c>
      <c r="H233" t="str">
        <f>VLOOKUP(Tableau65[[#This Row],[Utilisateur]],Tableau3[[Prenoms (ID)]:[Localisation]],2,FALSE)</f>
        <v>Audit CPA</v>
      </c>
      <c r="I233" t="str">
        <f>VLOOKUP(Tableau65[[#This Row],[Utilisateur]],Tableau3[[Prenoms (ID)]:[Localisation]],3,FALSE)</f>
        <v>AUDIT-CPA</v>
      </c>
      <c r="J233" t="str">
        <f>VLOOKUP(Tableau65[[#This Row],[Utilisateur]],Tableau3[[Prenoms (ID)]:[CABINET]],4,FALSE)</f>
        <v>CPA</v>
      </c>
    </row>
    <row r="234" spans="1:13" x14ac:dyDescent="0.25">
      <c r="A234" s="2">
        <v>45464</v>
      </c>
      <c r="B234" t="s">
        <v>30</v>
      </c>
      <c r="C234" s="6">
        <v>1</v>
      </c>
      <c r="D234" t="s">
        <v>49</v>
      </c>
      <c r="G234" t="s">
        <v>376</v>
      </c>
      <c r="H234" t="str">
        <f>VLOOKUP(Tableau65[[#This Row],[Utilisateur]],Tableau3[[Prenoms (ID)]:[Localisation]],2,FALSE)</f>
        <v>Audit CPA</v>
      </c>
      <c r="I234" t="str">
        <f>VLOOKUP(Tableau65[[#This Row],[Utilisateur]],Tableau3[[Prenoms (ID)]:[Localisation]],3,FALSE)</f>
        <v>AUDIT-CPA</v>
      </c>
      <c r="J234" t="str">
        <f>VLOOKUP(Tableau65[[#This Row],[Utilisateur]],Tableau3[[Prenoms (ID)]:[CABINET]],4,FALSE)</f>
        <v>CPA</v>
      </c>
    </row>
    <row r="235" spans="1:13" x14ac:dyDescent="0.25">
      <c r="A235" s="2">
        <v>45464</v>
      </c>
      <c r="B235" t="s">
        <v>30</v>
      </c>
      <c r="C235" s="6">
        <v>1</v>
      </c>
      <c r="D235" t="s">
        <v>49</v>
      </c>
      <c r="G235" t="s">
        <v>386</v>
      </c>
      <c r="H235" t="str">
        <f>VLOOKUP(Tableau65[[#This Row],[Utilisateur]],Tableau3[[Prenoms (ID)]:[Localisation]],2,FALSE)</f>
        <v>Audit CPA</v>
      </c>
      <c r="I235" t="str">
        <f>VLOOKUP(Tableau65[[#This Row],[Utilisateur]],Tableau3[[Prenoms (ID)]:[Localisation]],3,FALSE)</f>
        <v>AUDIT-CPA</v>
      </c>
      <c r="J235" t="str">
        <f>VLOOKUP(Tableau65[[#This Row],[Utilisateur]],Tableau3[[Prenoms (ID)]:[CABINET]],4,FALSE)</f>
        <v>CPA</v>
      </c>
    </row>
    <row r="236" spans="1:13" x14ac:dyDescent="0.25">
      <c r="A236" s="2">
        <v>45464</v>
      </c>
      <c r="B236" t="s">
        <v>30</v>
      </c>
      <c r="C236" s="6">
        <v>1</v>
      </c>
      <c r="D236" t="s">
        <v>49</v>
      </c>
      <c r="G236" t="s">
        <v>493</v>
      </c>
      <c r="H236" t="str">
        <f>VLOOKUP(Tableau65[[#This Row],[Utilisateur]],Tableau3[[Prenoms (ID)]:[Localisation]],2,FALSE)</f>
        <v>Audit CPA</v>
      </c>
      <c r="I236" t="str">
        <f>VLOOKUP(Tableau65[[#This Row],[Utilisateur]],Tableau3[[Prenoms (ID)]:[Localisation]],3,FALSE)</f>
        <v>AUDIT-CPA</v>
      </c>
      <c r="J236" t="str">
        <f>VLOOKUP(Tableau65[[#This Row],[Utilisateur]],Tableau3[[Prenoms (ID)]:[CABINET]],4,FALSE)</f>
        <v>CPA</v>
      </c>
    </row>
    <row r="237" spans="1:13" x14ac:dyDescent="0.25">
      <c r="A237" s="2">
        <v>45467</v>
      </c>
      <c r="B237" t="s">
        <v>139</v>
      </c>
      <c r="C237" s="6">
        <v>1</v>
      </c>
      <c r="D237" t="s">
        <v>49</v>
      </c>
      <c r="G237" t="s">
        <v>414</v>
      </c>
      <c r="H237" t="str">
        <f>VLOOKUP(Tableau65[[#This Row],[Utilisateur]],Tableau3[[Prenoms (ID)]:[Localisation]],2,FALSE)</f>
        <v>Optique / Sata</v>
      </c>
      <c r="I237" t="str">
        <f>VLOOKUP(Tableau65[[#This Row],[Utilisateur]],Tableau3[[Prenoms (ID)]:[Localisation]],3,FALSE)</f>
        <v>BNI1</v>
      </c>
      <c r="J237" t="str">
        <f>VLOOKUP(Tableau65[[#This Row],[Utilisateur]],Tableau3[[Prenoms (ID)]:[CABINET]],4,FALSE)</f>
        <v>RFC</v>
      </c>
    </row>
    <row r="238" spans="1:13" x14ac:dyDescent="0.25">
      <c r="A238" s="2">
        <v>45467</v>
      </c>
      <c r="B238" t="s">
        <v>139</v>
      </c>
      <c r="C238" s="6">
        <v>1</v>
      </c>
      <c r="D238" t="s">
        <v>49</v>
      </c>
      <c r="G238" t="s">
        <v>324</v>
      </c>
      <c r="H238" t="str">
        <f>VLOOKUP(Tableau65[[#This Row],[Utilisateur]],Tableau3[[Prenoms (ID)]:[Localisation]],2,FALSE)</f>
        <v>Optique / Mirado</v>
      </c>
      <c r="I238" t="str">
        <f>VLOOKUP(Tableau65[[#This Row],[Utilisateur]],Tableau3[[Prenoms (ID)]:[Localisation]],3,FALSE)</f>
        <v>BNI1</v>
      </c>
      <c r="J238">
        <f>VLOOKUP(Tableau65[[#This Row],[Utilisateur]],Tableau3[[Prenoms (ID)]:[CABINET]],4,FALSE)</f>
        <v>0</v>
      </c>
    </row>
    <row r="239" spans="1:13" x14ac:dyDescent="0.25">
      <c r="A239" s="2">
        <v>45419</v>
      </c>
      <c r="B239" t="s">
        <v>24</v>
      </c>
      <c r="C239" s="6">
        <v>1</v>
      </c>
      <c r="D239" t="s">
        <v>49</v>
      </c>
      <c r="G239" t="s">
        <v>494</v>
      </c>
      <c r="H239" t="str">
        <f>VLOOKUP(Tableau65[[#This Row],[Utilisateur]],Tableau3[[Prenoms (ID)]:[Localisation]],2,FALSE)</f>
        <v>-</v>
      </c>
      <c r="I239" t="str">
        <f>VLOOKUP(Tableau65[[#This Row],[Utilisateur]],Tableau3[[Prenoms (ID)]:[Localisation]],3,FALSE)</f>
        <v>BIRA</v>
      </c>
      <c r="J239" t="str">
        <f>VLOOKUP(Tableau65[[#This Row],[Utilisateur]],Tableau3[[Prenoms (ID)]:[CABINET]],4,FALSE)</f>
        <v>CPA</v>
      </c>
      <c r="M239" t="s">
        <v>495</v>
      </c>
    </row>
    <row r="240" spans="1:13" x14ac:dyDescent="0.25">
      <c r="A240" s="2">
        <v>45467</v>
      </c>
      <c r="B240" t="s">
        <v>52</v>
      </c>
      <c r="C240" s="57">
        <v>1</v>
      </c>
      <c r="D240" t="s">
        <v>49</v>
      </c>
      <c r="G240" t="s">
        <v>87</v>
      </c>
      <c r="H240" t="str">
        <f>VLOOKUP(Tableau65[[#This Row],[Utilisateur]],Tableau3[[Prenoms (ID)]:[Localisation]],2,FALSE)</f>
        <v>Accefi</v>
      </c>
      <c r="I240" t="str">
        <f>VLOOKUP(Tableau65[[#This Row],[Utilisateur]],Tableau3[[Prenoms (ID)]:[Localisation]],3,FALSE)</f>
        <v>ACCEFI</v>
      </c>
      <c r="J240" t="str">
        <f>VLOOKUP(Tableau65[[#This Row],[Utilisateur]],Tableau3[[Prenoms (ID)]:[CABINET]],4,FALSE)</f>
        <v>CPA</v>
      </c>
    </row>
    <row r="241" spans="1:13" x14ac:dyDescent="0.25">
      <c r="A241" s="2">
        <v>45467</v>
      </c>
      <c r="B241" t="s">
        <v>52</v>
      </c>
      <c r="C241" s="57">
        <v>1</v>
      </c>
      <c r="D241" t="s">
        <v>49</v>
      </c>
      <c r="G241" t="s">
        <v>496</v>
      </c>
      <c r="H241" t="str">
        <f>VLOOKUP(Tableau65[[#This Row],[Utilisateur]],Tableau3[[Prenoms (ID)]:[Localisation]],2,FALSE)</f>
        <v>RECCI / Njato Be</v>
      </c>
      <c r="I241" t="str">
        <f>VLOOKUP(Tableau65[[#This Row],[Utilisateur]],Tableau3[[Prenoms (ID)]:[Localisation]],3,FALSE)</f>
        <v>BNI2</v>
      </c>
      <c r="J241">
        <f>VLOOKUP(Tableau65[[#This Row],[Utilisateur]],Tableau3[[Prenoms (ID)]:[CABINET]],4,FALSE)</f>
        <v>0</v>
      </c>
    </row>
    <row r="242" spans="1:13" x14ac:dyDescent="0.25">
      <c r="A242" s="2">
        <v>45467</v>
      </c>
      <c r="B242" t="s">
        <v>52</v>
      </c>
      <c r="C242" s="57">
        <v>1</v>
      </c>
      <c r="D242" t="s">
        <v>49</v>
      </c>
      <c r="G242" t="s">
        <v>497</v>
      </c>
      <c r="H242" t="str">
        <f>VLOOKUP(Tableau65[[#This Row],[Utilisateur]],Tableau3[[Prenoms (ID)]:[Localisation]],2,FALSE)</f>
        <v>RECCI / Njato Be</v>
      </c>
      <c r="I242" t="str">
        <f>VLOOKUP(Tableau65[[#This Row],[Utilisateur]],Tableau3[[Prenoms (ID)]:[Localisation]],3,FALSE)</f>
        <v>BNI2</v>
      </c>
      <c r="J242">
        <f>VLOOKUP(Tableau65[[#This Row],[Utilisateur]],Tableau3[[Prenoms (ID)]:[CABINET]],4,FALSE)</f>
        <v>0</v>
      </c>
    </row>
    <row r="243" spans="1:13" x14ac:dyDescent="0.25">
      <c r="A243" s="2">
        <v>45468</v>
      </c>
      <c r="B243" t="s">
        <v>52</v>
      </c>
      <c r="C243" s="57">
        <v>1</v>
      </c>
      <c r="D243" t="s">
        <v>49</v>
      </c>
      <c r="G243" t="s">
        <v>498</v>
      </c>
      <c r="H243" s="35" t="str">
        <f>VLOOKUP(Tableau65[[#This Row],[Utilisateur]],Tableau3[[Prenoms (ID)]:[Localisation]],2,FALSE)</f>
        <v>Optique / Mirado</v>
      </c>
      <c r="I243" s="35" t="str">
        <f>VLOOKUP(Tableau65[[#This Row],[Utilisateur]],Tableau3[[Prenoms (ID)]:[Localisation]],3,FALSE)</f>
        <v>BNI1</v>
      </c>
      <c r="J243" s="35">
        <f>VLOOKUP(Tableau65[[#This Row],[Utilisateur]],Tableau3[[Prenoms (ID)]:[CABINET]],4,FALSE)</f>
        <v>0</v>
      </c>
    </row>
    <row r="244" spans="1:13" x14ac:dyDescent="0.25">
      <c r="A244" s="2">
        <v>45469</v>
      </c>
      <c r="B244" t="s">
        <v>52</v>
      </c>
      <c r="C244" s="57">
        <v>1</v>
      </c>
      <c r="D244" t="s">
        <v>49</v>
      </c>
      <c r="G244" t="s">
        <v>325</v>
      </c>
      <c r="H244" s="35" t="str">
        <f>VLOOKUP(Tableau65[[#This Row],[Utilisateur]],Tableau3[[Prenoms (ID)]:[Localisation]],2,FALSE)</f>
        <v>Accefi</v>
      </c>
      <c r="I244" s="35" t="str">
        <f>VLOOKUP(Tableau65[[#This Row],[Utilisateur]],Tableau3[[Prenoms (ID)]:[Localisation]],3,FALSE)</f>
        <v>ACCEFI</v>
      </c>
      <c r="J244" s="35" t="str">
        <f>VLOOKUP(Tableau65[[#This Row],[Utilisateur]],Tableau3[[Prenoms (ID)]:[CABINET]],4,FALSE)</f>
        <v>CPA</v>
      </c>
    </row>
    <row r="245" spans="1:13" x14ac:dyDescent="0.25">
      <c r="A245" s="2">
        <v>45470</v>
      </c>
      <c r="B245" t="s">
        <v>52</v>
      </c>
      <c r="C245" s="57">
        <v>1</v>
      </c>
      <c r="D245" t="s">
        <v>49</v>
      </c>
      <c r="G245" t="s">
        <v>335</v>
      </c>
      <c r="H245" t="str">
        <f>VLOOKUP(Tableau65[[#This Row],[Utilisateur]],Tableau3[[Prenoms (ID)]:[Localisation]],2,FALSE)</f>
        <v>Admin</v>
      </c>
      <c r="I245" t="str">
        <f>VLOOKUP(Tableau65[[#This Row],[Utilisateur]],Tableau3[[Prenoms (ID)]:[Localisation]],3,FALSE)</f>
        <v>DIRECTION</v>
      </c>
      <c r="J245">
        <f>VLOOKUP(Tableau65[[#This Row],[Utilisateur]],Tableau3[[Prenoms (ID)]:[CABINET]],4,FALSE)</f>
        <v>0</v>
      </c>
    </row>
    <row r="246" spans="1:13" x14ac:dyDescent="0.25">
      <c r="A246" s="2">
        <v>45470</v>
      </c>
      <c r="B246" t="s">
        <v>52</v>
      </c>
      <c r="C246" s="57">
        <v>1</v>
      </c>
      <c r="D246" t="s">
        <v>49</v>
      </c>
      <c r="G246" t="s">
        <v>427</v>
      </c>
      <c r="H246" s="35" t="str">
        <f>VLOOKUP(Tableau65[[#This Row],[Utilisateur]],Tableau3[[Prenoms (ID)]:[Localisation]],2,FALSE)</f>
        <v>SANISPHER</v>
      </c>
      <c r="I246" s="35" t="str">
        <f>VLOOKUP(Tableau65[[#This Row],[Utilisateur]],Tableau3[[Prenoms (ID)]:[Localisation]],3,FALSE)</f>
        <v>QUALITE</v>
      </c>
      <c r="J246" s="35">
        <f>VLOOKUP(Tableau65[[#This Row],[Utilisateur]],Tableau3[[Prenoms (ID)]:[CABINET]],4,FALSE)</f>
        <v>0</v>
      </c>
    </row>
    <row r="247" spans="1:13" x14ac:dyDescent="0.25">
      <c r="A247" s="2">
        <v>45474</v>
      </c>
      <c r="B247" t="s">
        <v>52</v>
      </c>
      <c r="C247" s="57">
        <v>1</v>
      </c>
      <c r="D247" t="s">
        <v>49</v>
      </c>
      <c r="G247" t="s">
        <v>374</v>
      </c>
      <c r="H247" s="35" t="str">
        <f>VLOOKUP(Tableau65[[#This Row],[Utilisateur]],Tableau3[[Prenoms (ID)]:[Localisation]],2,FALSE)</f>
        <v>Audit CPA</v>
      </c>
      <c r="I247" s="35" t="str">
        <f>VLOOKUP(Tableau65[[#This Row],[Utilisateur]],Tableau3[[Prenoms (ID)]:[Localisation]],3,FALSE)</f>
        <v>AUDIT-CPA</v>
      </c>
      <c r="J247" s="35" t="str">
        <f>VLOOKUP(Tableau65[[#This Row],[Utilisateur]],Tableau3[[Prenoms (ID)]:[CABINET]],4,FALSE)</f>
        <v>CPA</v>
      </c>
    </row>
    <row r="248" spans="1:13" x14ac:dyDescent="0.25">
      <c r="A248" s="2">
        <v>45474</v>
      </c>
      <c r="B248" t="s">
        <v>52</v>
      </c>
      <c r="C248" s="57">
        <v>1</v>
      </c>
      <c r="D248" t="s">
        <v>49</v>
      </c>
      <c r="G248" t="s">
        <v>376</v>
      </c>
      <c r="H248" s="35" t="str">
        <f>VLOOKUP(Tableau65[[#This Row],[Utilisateur]],Tableau3[[Prenoms (ID)]:[Localisation]],2,FALSE)</f>
        <v>Audit CPA</v>
      </c>
      <c r="I248" s="35" t="str">
        <f>VLOOKUP(Tableau65[[#This Row],[Utilisateur]],Tableau3[[Prenoms (ID)]:[Localisation]],3,FALSE)</f>
        <v>AUDIT-CPA</v>
      </c>
      <c r="J248" s="35" t="str">
        <f>VLOOKUP(Tableau65[[#This Row],[Utilisateur]],Tableau3[[Prenoms (ID)]:[CABINET]],4,FALSE)</f>
        <v>CPA</v>
      </c>
    </row>
    <row r="249" spans="1:13" x14ac:dyDescent="0.25">
      <c r="A249" s="2">
        <v>45475</v>
      </c>
      <c r="B249" t="s">
        <v>58</v>
      </c>
      <c r="C249" s="6">
        <v>1</v>
      </c>
      <c r="D249" t="s">
        <v>49</v>
      </c>
      <c r="G249" t="s">
        <v>499</v>
      </c>
      <c r="H249" t="str">
        <f>VLOOKUP(Tableau65[[#This Row],[Utilisateur]],Tableau3[[Prenoms (ID)]:[Localisation]],2,FALSE)</f>
        <v>Info/Dev</v>
      </c>
      <c r="I249" t="str">
        <f>VLOOKUP(Tableau65[[#This Row],[Utilisateur]],Tableau3[[Prenoms (ID)]:[Localisation]],3,FALSE)</f>
        <v>Informatique</v>
      </c>
      <c r="J249">
        <f>VLOOKUP(Tableau65[[#This Row],[Utilisateur]],Tableau3[[Prenoms (ID)]:[CABINET]],4,FALSE)</f>
        <v>0</v>
      </c>
    </row>
    <row r="250" spans="1:13" x14ac:dyDescent="0.25">
      <c r="A250" s="2">
        <v>45475</v>
      </c>
      <c r="B250" t="s">
        <v>64</v>
      </c>
      <c r="C250" s="6">
        <v>1</v>
      </c>
      <c r="D250" t="s">
        <v>49</v>
      </c>
      <c r="G250" t="s">
        <v>500</v>
      </c>
      <c r="H250" t="str">
        <f>VLOOKUP(Tableau65[[#This Row],[Utilisateur]],Tableau3[[Prenoms (ID)]:[Localisation]],2,FALSE)</f>
        <v>COMPTASTAR</v>
      </c>
      <c r="I250" t="str">
        <f>VLOOKUP(Tableau65[[#This Row],[Utilisateur]],Tableau3[[Prenoms (ID)]:[Localisation]],3,FALSE)</f>
        <v>COMPTASTAR</v>
      </c>
      <c r="J250" t="str">
        <f>VLOOKUP(Tableau65[[#This Row],[Utilisateur]],Tableau3[[Prenoms (ID)]:[CABINET]],4,FALSE)</f>
        <v>CPA</v>
      </c>
    </row>
    <row r="251" spans="1:13" x14ac:dyDescent="0.25">
      <c r="A251" s="2">
        <v>45475</v>
      </c>
      <c r="B251" t="s">
        <v>58</v>
      </c>
      <c r="C251" s="6">
        <v>1</v>
      </c>
      <c r="D251" t="s">
        <v>49</v>
      </c>
      <c r="E251" t="s">
        <v>501</v>
      </c>
      <c r="H251" s="35" t="e">
        <f>VLOOKUP(Tableau65[[#This Row],[Utilisateur]],Tableau3[[Prenoms (ID)]:[Localisation]],2,FALSE)</f>
        <v>#N/A</v>
      </c>
      <c r="I251" s="35" t="e">
        <f>VLOOKUP(Tableau65[[#This Row],[Utilisateur]],Tableau3[[Prenoms (ID)]:[Localisation]],3,FALSE)</f>
        <v>#N/A</v>
      </c>
      <c r="J251" s="35" t="e">
        <f>VLOOKUP(Tableau65[[#This Row],[Utilisateur]],Tableau3[[Prenoms (ID)]:[CABINET]],4,FALSE)</f>
        <v>#N/A</v>
      </c>
    </row>
    <row r="252" spans="1:13" x14ac:dyDescent="0.25">
      <c r="A252" s="2">
        <v>45475</v>
      </c>
      <c r="B252" t="s">
        <v>52</v>
      </c>
      <c r="C252" s="57">
        <v>1</v>
      </c>
      <c r="D252" t="s">
        <v>49</v>
      </c>
      <c r="G252" t="s">
        <v>370</v>
      </c>
      <c r="H252" t="str">
        <f>VLOOKUP(Tableau65[[#This Row],[Utilisateur]],Tableau3[[Prenoms (ID)]:[Localisation]],2,FALSE)</f>
        <v>Paie</v>
      </c>
      <c r="I252" t="str">
        <f>VLOOKUP(Tableau65[[#This Row],[Utilisateur]],Tableau3[[Prenoms (ID)]:[Localisation]],3,FALSE)</f>
        <v>SOCIAL</v>
      </c>
      <c r="J252">
        <f>VLOOKUP(Tableau65[[#This Row],[Utilisateur]],Tableau3[[Prenoms (ID)]:[CABINET]],4,FALSE)</f>
        <v>0</v>
      </c>
    </row>
    <row r="253" spans="1:13" x14ac:dyDescent="0.25">
      <c r="A253" s="2">
        <v>45476</v>
      </c>
      <c r="B253" t="s">
        <v>54</v>
      </c>
      <c r="C253" s="6">
        <v>1</v>
      </c>
      <c r="D253" t="s">
        <v>49</v>
      </c>
      <c r="G253" t="s">
        <v>326</v>
      </c>
      <c r="H253" t="str">
        <f>VLOOKUP(Tableau65[[#This Row],[Utilisateur]],Tableau3[[Prenoms (ID)]:[Localisation]],2,FALSE)</f>
        <v>-</v>
      </c>
      <c r="I253" t="str">
        <f>VLOOKUP(Tableau65[[#This Row],[Utilisateur]],Tableau3[[Prenoms (ID)]:[Localisation]],3,FALSE)</f>
        <v>BIRA</v>
      </c>
      <c r="J253" t="str">
        <f>VLOOKUP(Tableau65[[#This Row],[Utilisateur]],Tableau3[[Prenoms (ID)]:[CABINET]],4,FALSE)</f>
        <v>CPA</v>
      </c>
    </row>
    <row r="254" spans="1:13" x14ac:dyDescent="0.25">
      <c r="A254" s="2">
        <v>45419</v>
      </c>
      <c r="B254" t="s">
        <v>24</v>
      </c>
      <c r="C254" s="6">
        <v>1</v>
      </c>
      <c r="D254" t="s">
        <v>49</v>
      </c>
      <c r="G254" t="s">
        <v>502</v>
      </c>
      <c r="H254" t="str">
        <f>VLOOKUP(Tableau65[[#This Row],[Utilisateur]],Tableau3[[Prenoms (ID)]:[Localisation]],2,FALSE)</f>
        <v>Apprenti</v>
      </c>
      <c r="I254" t="str">
        <f>VLOOKUP(Tableau65[[#This Row],[Utilisateur]],Tableau3[[Prenoms (ID)]:[Localisation]],3,FALSE)</f>
        <v>BIRA</v>
      </c>
      <c r="J254">
        <f>VLOOKUP(Tableau65[[#This Row],[Utilisateur]],Tableau3[[Prenoms (ID)]:[CABINET]],4,FALSE)</f>
        <v>0</v>
      </c>
      <c r="M254" t="s">
        <v>495</v>
      </c>
    </row>
    <row r="255" spans="1:13" x14ac:dyDescent="0.25">
      <c r="A255" s="2">
        <v>45476</v>
      </c>
      <c r="B255" t="s">
        <v>52</v>
      </c>
      <c r="C255" s="57">
        <v>1</v>
      </c>
      <c r="D255" t="s">
        <v>49</v>
      </c>
      <c r="G255" t="s">
        <v>503</v>
      </c>
      <c r="H255" t="str">
        <f>VLOOKUP(Tableau65[[#This Row],[Utilisateur]],Tableau3[[Prenoms (ID)]:[Localisation]],2,FALSE)</f>
        <v>AGE CONSEIL</v>
      </c>
      <c r="I255" t="str">
        <f>VLOOKUP(Tableau65[[#This Row],[Utilisateur]],Tableau3[[Prenoms (ID)]:[Localisation]],3,FALSE)</f>
        <v>DEV</v>
      </c>
      <c r="J255">
        <f>VLOOKUP(Tableau65[[#This Row],[Utilisateur]],Tableau3[[Prenoms (ID)]:[CABINET]],4,FALSE)</f>
        <v>0</v>
      </c>
    </row>
    <row r="256" spans="1:13" x14ac:dyDescent="0.25">
      <c r="A256" s="2">
        <v>45477</v>
      </c>
      <c r="B256" t="s">
        <v>52</v>
      </c>
      <c r="C256" s="57">
        <v>1</v>
      </c>
      <c r="D256" t="s">
        <v>49</v>
      </c>
      <c r="G256" t="s">
        <v>504</v>
      </c>
      <c r="H256" t="str">
        <f>VLOOKUP(Tableau65[[#This Row],[Utilisateur]],Tableau3[[Prenoms (ID)]:[Localisation]],2,FALSE)</f>
        <v>Audit CPA</v>
      </c>
      <c r="I256" t="str">
        <f>VLOOKUP(Tableau65[[#This Row],[Utilisateur]],Tableau3[[Prenoms (ID)]:[Localisation]],3,FALSE)</f>
        <v>AUDIT-CPA</v>
      </c>
      <c r="J256" t="str">
        <f>VLOOKUP(Tableau65[[#This Row],[Utilisateur]],Tableau3[[Prenoms (ID)]:[CABINET]],4,FALSE)</f>
        <v>CPA</v>
      </c>
    </row>
    <row r="257" spans="1:13" s="29" customFormat="1" x14ac:dyDescent="0.25">
      <c r="A257" s="2">
        <v>45477</v>
      </c>
      <c r="B257" t="s">
        <v>52</v>
      </c>
      <c r="C257" s="57">
        <v>1</v>
      </c>
      <c r="D257" t="s">
        <v>49</v>
      </c>
      <c r="E257"/>
      <c r="F257"/>
      <c r="G257" t="s">
        <v>505</v>
      </c>
      <c r="H257" t="str">
        <f>VLOOKUP(Tableau65[[#This Row],[Utilisateur]],Tableau3[[Prenoms (ID)]:[Localisation]],2,FALSE)</f>
        <v>Cecca rueil</v>
      </c>
      <c r="I257" t="str">
        <f>VLOOKUP(Tableau65[[#This Row],[Utilisateur]],Tableau3[[Prenoms (ID)]:[Localisation]],3,FALSE)</f>
        <v>BNI1</v>
      </c>
      <c r="J257">
        <f>VLOOKUP(Tableau65[[#This Row],[Utilisateur]],Tableau3[[Prenoms (ID)]:[CABINET]],4,FALSE)</f>
        <v>0</v>
      </c>
      <c r="K257"/>
      <c r="L257"/>
      <c r="M257"/>
    </row>
    <row r="258" spans="1:13" s="10" customFormat="1" x14ac:dyDescent="0.25">
      <c r="A258" s="2">
        <v>45477</v>
      </c>
      <c r="B258" t="s">
        <v>52</v>
      </c>
      <c r="C258" s="57">
        <v>1</v>
      </c>
      <c r="D258" t="s">
        <v>49</v>
      </c>
      <c r="E258"/>
      <c r="F258"/>
      <c r="G258" t="s">
        <v>443</v>
      </c>
      <c r="H258" t="str">
        <f>VLOOKUP(Tableau65[[#This Row],[Utilisateur]],Tableau3[[Prenoms (ID)]:[Localisation]],2,FALSE)</f>
        <v>Eccentive</v>
      </c>
      <c r="I258" t="str">
        <f>VLOOKUP(Tableau65[[#This Row],[Utilisateur]],Tableau3[[Prenoms (ID)]:[Localisation]],3,FALSE)</f>
        <v>ECCENTIVE</v>
      </c>
      <c r="J258">
        <f>VLOOKUP(Tableau65[[#This Row],[Utilisateur]],Tableau3[[Prenoms (ID)]:[CABINET]],4,FALSE)</f>
        <v>0</v>
      </c>
      <c r="K258"/>
      <c r="L258"/>
      <c r="M258"/>
    </row>
    <row r="259" spans="1:13" s="10" customFormat="1" x14ac:dyDescent="0.25">
      <c r="A259" s="2">
        <v>45481</v>
      </c>
      <c r="B259" t="s">
        <v>52</v>
      </c>
      <c r="C259" s="57">
        <v>1</v>
      </c>
      <c r="D259" t="s">
        <v>49</v>
      </c>
      <c r="E259"/>
      <c r="F259"/>
      <c r="G259" t="s">
        <v>464</v>
      </c>
      <c r="H259" t="str">
        <f>VLOOKUP(Tableau65[[#This Row],[Utilisateur]],Tableau3[[Prenoms (ID)]:[Localisation]],2,FALSE)</f>
        <v>Optique / Sata</v>
      </c>
      <c r="I259" t="str">
        <f>VLOOKUP(Tableau65[[#This Row],[Utilisateur]],Tableau3[[Prenoms (ID)]:[Localisation]],3,FALSE)</f>
        <v>BNI1</v>
      </c>
      <c r="J259">
        <f>VLOOKUP(Tableau65[[#This Row],[Utilisateur]],Tableau3[[Prenoms (ID)]:[CABINET]],4,FALSE)</f>
        <v>0</v>
      </c>
      <c r="K259"/>
      <c r="L259"/>
      <c r="M259"/>
    </row>
    <row r="260" spans="1:13" s="10" customFormat="1" x14ac:dyDescent="0.25">
      <c r="A260" s="2">
        <v>45481</v>
      </c>
      <c r="B260" t="s">
        <v>139</v>
      </c>
      <c r="C260" s="6">
        <v>1</v>
      </c>
      <c r="D260" t="s">
        <v>49</v>
      </c>
      <c r="E260"/>
      <c r="F260"/>
      <c r="G260" t="s">
        <v>441</v>
      </c>
      <c r="H260" t="str">
        <f>VLOOKUP(Tableau65[[#This Row],[Utilisateur]],Tableau3[[Prenoms (ID)]:[Localisation]],2,FALSE)</f>
        <v>QUALITE</v>
      </c>
      <c r="I260" t="str">
        <f>VLOOKUP(Tableau65[[#This Row],[Utilisateur]],Tableau3[[Prenoms (ID)]:[Localisation]],3,FALSE)</f>
        <v>CENTRE</v>
      </c>
      <c r="J260">
        <f>VLOOKUP(Tableau65[[#This Row],[Utilisateur]],Tableau3[[Prenoms (ID)]:[CABINET]],4,FALSE)</f>
        <v>0</v>
      </c>
      <c r="K260"/>
      <c r="L260"/>
      <c r="M260"/>
    </row>
    <row r="261" spans="1:13" s="10" customFormat="1" x14ac:dyDescent="0.25">
      <c r="A261" s="2">
        <v>45464</v>
      </c>
      <c r="B261" t="s">
        <v>82</v>
      </c>
      <c r="C261" s="6">
        <v>1</v>
      </c>
      <c r="D261" t="s">
        <v>49</v>
      </c>
      <c r="E261"/>
      <c r="F261"/>
      <c r="G261" t="s">
        <v>413</v>
      </c>
      <c r="H261" s="35" t="str">
        <f>VLOOKUP(Tableau65[[#This Row],[Utilisateur]],Tableau3[[Prenoms (ID)]:[Localisation]],2,FALSE)</f>
        <v>Ravaka</v>
      </c>
      <c r="I261" s="35" t="str">
        <f>VLOOKUP(Tableau65[[#This Row],[Utilisateur]],Tableau3[[Prenoms (ID)]:[Localisation]],3,FALSE)</f>
        <v>QUALITE</v>
      </c>
      <c r="J261" s="35">
        <f>VLOOKUP(Tableau65[[#This Row],[Utilisateur]],Tableau3[[Prenoms (ID)]:[CABINET]],4,FALSE)</f>
        <v>0</v>
      </c>
      <c r="K261"/>
      <c r="L261"/>
      <c r="M261"/>
    </row>
    <row r="262" spans="1:13" s="10" customFormat="1" x14ac:dyDescent="0.25">
      <c r="A262" s="2">
        <v>45420</v>
      </c>
      <c r="B262" t="s">
        <v>24</v>
      </c>
      <c r="C262" s="6">
        <v>1</v>
      </c>
      <c r="D262" t="s">
        <v>49</v>
      </c>
      <c r="E262" t="s">
        <v>506</v>
      </c>
      <c r="F262"/>
      <c r="G262"/>
      <c r="H262" s="35" t="e">
        <f>VLOOKUP(Tableau65[[#This Row],[Utilisateur]],Tableau3[[Prenoms (ID)]:[Localisation]],2,FALSE)</f>
        <v>#N/A</v>
      </c>
      <c r="I262" s="35" t="e">
        <f>VLOOKUP(Tableau65[[#This Row],[Utilisateur]],Tableau3[[Prenoms (ID)]:[Localisation]],3,FALSE)</f>
        <v>#N/A</v>
      </c>
      <c r="J262" s="35" t="e">
        <f>VLOOKUP(Tableau65[[#This Row],[Utilisateur]],Tableau3[[Prenoms (ID)]:[CABINET]],4,FALSE)</f>
        <v>#N/A</v>
      </c>
      <c r="K262"/>
      <c r="L262"/>
      <c r="M262"/>
    </row>
    <row r="263" spans="1:13" s="10" customFormat="1" x14ac:dyDescent="0.25">
      <c r="A263" s="2">
        <v>45481</v>
      </c>
      <c r="B263" t="s">
        <v>64</v>
      </c>
      <c r="C263" s="6">
        <v>1</v>
      </c>
      <c r="D263" t="s">
        <v>49</v>
      </c>
      <c r="E263"/>
      <c r="F263"/>
      <c r="G263" t="s">
        <v>507</v>
      </c>
      <c r="H263" t="str">
        <f>VLOOKUP(Tableau65[[#This Row],[Utilisateur]],Tableau3[[Prenoms (ID)]:[Localisation]],2,FALSE)</f>
        <v>Audit CPA</v>
      </c>
      <c r="I263" t="str">
        <f>VLOOKUP(Tableau65[[#This Row],[Utilisateur]],Tableau3[[Prenoms (ID)]:[Localisation]],3,FALSE)</f>
        <v>MADAFIT</v>
      </c>
      <c r="J263" t="str">
        <f>VLOOKUP(Tableau65[[#This Row],[Utilisateur]],Tableau3[[Prenoms (ID)]:[CABINET]],4,FALSE)</f>
        <v>CPA</v>
      </c>
      <c r="K263"/>
      <c r="L263"/>
      <c r="M263"/>
    </row>
    <row r="264" spans="1:13" s="10" customFormat="1" x14ac:dyDescent="0.25">
      <c r="A264" s="2">
        <v>45482</v>
      </c>
      <c r="B264" t="s">
        <v>52</v>
      </c>
      <c r="C264" s="57">
        <v>1</v>
      </c>
      <c r="D264" t="s">
        <v>49</v>
      </c>
      <c r="E264"/>
      <c r="F264"/>
      <c r="G264" t="s">
        <v>508</v>
      </c>
      <c r="H264" t="str">
        <f>VLOOKUP(Tableau65[[#This Row],[Utilisateur]],Tableau3[[Prenoms (ID)]:[Localisation]],2,FALSE)</f>
        <v>Optique / Mirado</v>
      </c>
      <c r="I264" t="str">
        <f>VLOOKUP(Tableau65[[#This Row],[Utilisateur]],Tableau3[[Prenoms (ID)]:[Localisation]],3,FALSE)</f>
        <v>BNI1</v>
      </c>
      <c r="J264">
        <f>VLOOKUP(Tableau65[[#This Row],[Utilisateur]],Tableau3[[Prenoms (ID)]:[CABINET]],4,FALSE)</f>
        <v>0</v>
      </c>
      <c r="K264"/>
      <c r="L264"/>
      <c r="M264"/>
    </row>
    <row r="265" spans="1:13" s="10" customFormat="1" x14ac:dyDescent="0.25">
      <c r="A265" s="2">
        <v>45483</v>
      </c>
      <c r="B265" t="s">
        <v>52</v>
      </c>
      <c r="C265" s="57">
        <v>1</v>
      </c>
      <c r="D265" t="s">
        <v>49</v>
      </c>
      <c r="E265" t="s">
        <v>509</v>
      </c>
      <c r="F265"/>
      <c r="G265" t="s">
        <v>510</v>
      </c>
      <c r="H265" s="35" t="str">
        <f>VLOOKUP(Tableau65[[#This Row],[Utilisateur]],Tableau3[[Prenoms (ID)]:[Localisation]],2,FALSE)</f>
        <v>Audit CPA</v>
      </c>
      <c r="I265" s="35" t="str">
        <f>VLOOKUP(Tableau65[[#This Row],[Utilisateur]],Tableau3[[Prenoms (ID)]:[Localisation]],3,FALSE)</f>
        <v>AUDIT-CPA</v>
      </c>
      <c r="J265" s="35" t="str">
        <f>VLOOKUP(Tableau65[[#This Row],[Utilisateur]],Tableau3[[Prenoms (ID)]:[CABINET]],4,FALSE)</f>
        <v>CPA</v>
      </c>
      <c r="K265"/>
      <c r="L265"/>
      <c r="M265"/>
    </row>
    <row r="266" spans="1:13" s="10" customFormat="1" x14ac:dyDescent="0.25">
      <c r="A266" s="2">
        <v>45483</v>
      </c>
      <c r="B266" t="s">
        <v>52</v>
      </c>
      <c r="C266" s="57">
        <v>1</v>
      </c>
      <c r="D266" t="s">
        <v>49</v>
      </c>
      <c r="E266"/>
      <c r="F266"/>
      <c r="G266" t="s">
        <v>511</v>
      </c>
      <c r="H266" t="str">
        <f>VLOOKUP(Tableau65[[#This Row],[Utilisateur]],Tableau3[[Prenoms (ID)]:[Localisation]],2,FALSE)</f>
        <v>Impulsa</v>
      </c>
      <c r="I266" t="str">
        <f>VLOOKUP(Tableau65[[#This Row],[Utilisateur]],Tableau3[[Prenoms (ID)]:[Localisation]],3,FALSE)</f>
        <v>BNI2</v>
      </c>
      <c r="J266">
        <f>VLOOKUP(Tableau65[[#This Row],[Utilisateur]],Tableau3[[Prenoms (ID)]:[CABINET]],4,FALSE)</f>
        <v>0</v>
      </c>
      <c r="K266"/>
      <c r="L266"/>
      <c r="M266"/>
    </row>
    <row r="267" spans="1:13" s="10" customFormat="1" x14ac:dyDescent="0.25">
      <c r="A267" s="2">
        <v>45469</v>
      </c>
      <c r="B267" t="s">
        <v>82</v>
      </c>
      <c r="C267" s="6">
        <v>1</v>
      </c>
      <c r="D267" t="s">
        <v>49</v>
      </c>
      <c r="E267"/>
      <c r="F267"/>
      <c r="G267" t="s">
        <v>512</v>
      </c>
      <c r="H267" s="35" t="str">
        <f>VLOOKUP(Tableau65[[#This Row],[Utilisateur]],Tableau3[[Prenoms (ID)]:[Localisation]],2,FALSE)</f>
        <v>Audit CPA</v>
      </c>
      <c r="I267" s="35" t="str">
        <f>VLOOKUP(Tableau65[[#This Row],[Utilisateur]],Tableau3[[Prenoms (ID)]:[Localisation]],3,FALSE)</f>
        <v>AUDIT-CPA</v>
      </c>
      <c r="J267" s="35" t="str">
        <f>VLOOKUP(Tableau65[[#This Row],[Utilisateur]],Tableau3[[Prenoms (ID)]:[CABINET]],4,FALSE)</f>
        <v>CPA</v>
      </c>
      <c r="K267"/>
      <c r="L267"/>
      <c r="M267"/>
    </row>
    <row r="268" spans="1:13" s="10" customFormat="1" x14ac:dyDescent="0.25">
      <c r="A268" s="2">
        <v>45484</v>
      </c>
      <c r="B268" t="s">
        <v>52</v>
      </c>
      <c r="C268" s="57">
        <v>1</v>
      </c>
      <c r="D268" t="s">
        <v>49</v>
      </c>
      <c r="E268"/>
      <c r="F268"/>
      <c r="G268" t="s">
        <v>500</v>
      </c>
      <c r="H268" t="str">
        <f>VLOOKUP(Tableau65[[#This Row],[Utilisateur]],Tableau3[[Prenoms (ID)]:[Localisation]],2,FALSE)</f>
        <v>COMPTASTAR</v>
      </c>
      <c r="I268" t="str">
        <f>VLOOKUP(Tableau65[[#This Row],[Utilisateur]],Tableau3[[Prenoms (ID)]:[Localisation]],3,FALSE)</f>
        <v>COMPTASTAR</v>
      </c>
      <c r="J268" t="str">
        <f>VLOOKUP(Tableau65[[#This Row],[Utilisateur]],Tableau3[[Prenoms (ID)]:[CABINET]],4,FALSE)</f>
        <v>CPA</v>
      </c>
      <c r="K268"/>
      <c r="L268"/>
      <c r="M268"/>
    </row>
    <row r="269" spans="1:13" s="10" customFormat="1" x14ac:dyDescent="0.25">
      <c r="A269" s="2">
        <v>45484</v>
      </c>
      <c r="B269" t="s">
        <v>52</v>
      </c>
      <c r="C269" s="57">
        <v>1</v>
      </c>
      <c r="D269" t="s">
        <v>49</v>
      </c>
      <c r="E269"/>
      <c r="F269"/>
      <c r="G269" t="s">
        <v>387</v>
      </c>
      <c r="H269" t="str">
        <f>VLOOKUP(Tableau65[[#This Row],[Utilisateur]],Tableau3[[Prenoms (ID)]:[Localisation]],2,FALSE)</f>
        <v>Comptastar</v>
      </c>
      <c r="I269" t="str">
        <f>VLOOKUP(Tableau65[[#This Row],[Utilisateur]],Tableau3[[Prenoms (ID)]:[Localisation]],3,FALSE)</f>
        <v>CENTRE</v>
      </c>
      <c r="J269">
        <f>VLOOKUP(Tableau65[[#This Row],[Utilisateur]],Tableau3[[Prenoms (ID)]:[CABINET]],4,FALSE)</f>
        <v>0</v>
      </c>
      <c r="K269"/>
      <c r="L269"/>
      <c r="M269"/>
    </row>
    <row r="270" spans="1:13" s="10" customFormat="1" x14ac:dyDescent="0.25">
      <c r="A270" s="2">
        <v>45485</v>
      </c>
      <c r="B270" t="s">
        <v>52</v>
      </c>
      <c r="C270" s="57">
        <v>1</v>
      </c>
      <c r="D270" t="s">
        <v>49</v>
      </c>
      <c r="E270"/>
      <c r="F270"/>
      <c r="G270" t="s">
        <v>513</v>
      </c>
      <c r="H270" s="35" t="str">
        <f>VLOOKUP(Tableau65[[#This Row],[Utilisateur]],Tableau3[[Prenoms (ID)]:[Localisation]],2,FALSE)</f>
        <v>Audit CPA</v>
      </c>
      <c r="I270" s="35" t="str">
        <f>VLOOKUP(Tableau65[[#This Row],[Utilisateur]],Tableau3[[Prenoms (ID)]:[Localisation]],3,FALSE)</f>
        <v>MADAFIT</v>
      </c>
      <c r="J270" s="35" t="str">
        <f>VLOOKUP(Tableau65[[#This Row],[Utilisateur]],Tableau3[[Prenoms (ID)]:[CABINET]],4,FALSE)</f>
        <v>CPA</v>
      </c>
      <c r="K270"/>
      <c r="L270"/>
      <c r="M270"/>
    </row>
    <row r="271" spans="1:13" s="10" customFormat="1" x14ac:dyDescent="0.25">
      <c r="A271" s="2">
        <v>45485</v>
      </c>
      <c r="B271" t="s">
        <v>84</v>
      </c>
      <c r="C271" s="6">
        <v>1</v>
      </c>
      <c r="D271" t="s">
        <v>49</v>
      </c>
      <c r="E271"/>
      <c r="F271"/>
      <c r="G271" t="s">
        <v>514</v>
      </c>
      <c r="H271" t="str">
        <f>VLOOKUP(Tableau65[[#This Row],[Utilisateur]],Tableau3[[Prenoms (ID)]:[Localisation]],2,FALSE)</f>
        <v>RECCI / Lalaina</v>
      </c>
      <c r="I271" t="str">
        <f>VLOOKUP(Tableau65[[#This Row],[Utilisateur]],Tableau3[[Prenoms (ID)]:[Localisation]],3,FALSE)</f>
        <v>BNI2</v>
      </c>
      <c r="J271">
        <f>VLOOKUP(Tableau65[[#This Row],[Utilisateur]],Tableau3[[Prenoms (ID)]:[CABINET]],4,FALSE)</f>
        <v>0</v>
      </c>
      <c r="K271"/>
      <c r="L271"/>
      <c r="M271"/>
    </row>
    <row r="272" spans="1:13" s="10" customFormat="1" x14ac:dyDescent="0.25">
      <c r="A272" s="2">
        <v>45485</v>
      </c>
      <c r="B272" t="s">
        <v>84</v>
      </c>
      <c r="C272" s="6">
        <v>1</v>
      </c>
      <c r="D272" t="s">
        <v>49</v>
      </c>
      <c r="E272"/>
      <c r="F272"/>
      <c r="G272" t="s">
        <v>346</v>
      </c>
      <c r="H272" t="str">
        <f>VLOOKUP(Tableau65[[#This Row],[Utilisateur]],Tableau3[[Prenoms (ID)]:[Localisation]],2,FALSE)</f>
        <v>Optique / Sata</v>
      </c>
      <c r="I272" t="str">
        <f>VLOOKUP(Tableau65[[#This Row],[Utilisateur]],Tableau3[[Prenoms (ID)]:[Localisation]],3,FALSE)</f>
        <v>BNI1</v>
      </c>
      <c r="J272">
        <f>VLOOKUP(Tableau65[[#This Row],[Utilisateur]],Tableau3[[Prenoms (ID)]:[CABINET]],4,FALSE)</f>
        <v>0</v>
      </c>
      <c r="K272"/>
      <c r="L272"/>
      <c r="M272"/>
    </row>
    <row r="273" spans="1:13" s="10" customFormat="1" x14ac:dyDescent="0.25">
      <c r="A273" s="2">
        <v>45485</v>
      </c>
      <c r="B273" t="s">
        <v>84</v>
      </c>
      <c r="C273" s="6">
        <v>1</v>
      </c>
      <c r="D273" t="s">
        <v>49</v>
      </c>
      <c r="E273"/>
      <c r="F273"/>
      <c r="G273" t="s">
        <v>515</v>
      </c>
      <c r="H273" t="str">
        <f>VLOOKUP(Tableau65[[#This Row],[Utilisateur]],Tableau3[[Prenoms (ID)]:[Localisation]],2,FALSE)</f>
        <v>Juridique</v>
      </c>
      <c r="I273" t="str">
        <f>VLOOKUP(Tableau65[[#This Row],[Utilisateur]],Tableau3[[Prenoms (ID)]:[Localisation]],3,FALSE)</f>
        <v>BNI2</v>
      </c>
      <c r="J273">
        <f>VLOOKUP(Tableau65[[#This Row],[Utilisateur]],Tableau3[[Prenoms (ID)]:[CABINET]],4,FALSE)</f>
        <v>0</v>
      </c>
      <c r="K273"/>
      <c r="L273"/>
      <c r="M273"/>
    </row>
    <row r="274" spans="1:13" s="10" customFormat="1" x14ac:dyDescent="0.25">
      <c r="A274" s="2">
        <v>45485</v>
      </c>
      <c r="B274" t="s">
        <v>84</v>
      </c>
      <c r="C274" s="6">
        <v>1</v>
      </c>
      <c r="D274" t="s">
        <v>49</v>
      </c>
      <c r="E274"/>
      <c r="F274"/>
      <c r="G274" t="s">
        <v>489</v>
      </c>
      <c r="H274" t="str">
        <f>VLOOKUP(Tableau65[[#This Row],[Utilisateur]],Tableau3[[Prenoms (ID)]:[Localisation]],2,FALSE)</f>
        <v>Optique / Sata</v>
      </c>
      <c r="I274" t="str">
        <f>VLOOKUP(Tableau65[[#This Row],[Utilisateur]],Tableau3[[Prenoms (ID)]:[Localisation]],3,FALSE)</f>
        <v>BNI1</v>
      </c>
      <c r="J274">
        <f>VLOOKUP(Tableau65[[#This Row],[Utilisateur]],Tableau3[[Prenoms (ID)]:[CABINET]],4,FALSE)</f>
        <v>0</v>
      </c>
      <c r="K274"/>
      <c r="L274"/>
      <c r="M274"/>
    </row>
    <row r="275" spans="1:13" x14ac:dyDescent="0.25">
      <c r="A275" s="2">
        <v>45474</v>
      </c>
      <c r="B275" t="s">
        <v>82</v>
      </c>
      <c r="C275" s="6">
        <v>1</v>
      </c>
      <c r="D275" t="s">
        <v>49</v>
      </c>
      <c r="G275" s="62" t="s">
        <v>516</v>
      </c>
      <c r="H275" s="35" t="str">
        <f>VLOOKUP(Tableau65[[#This Row],[Utilisateur]],Tableau3[[Prenoms (ID)]:[Localisation]],2,FALSE)</f>
        <v>Ravaka</v>
      </c>
      <c r="I275" s="35" t="str">
        <f>VLOOKUP(Tableau65[[#This Row],[Utilisateur]],Tableau3[[Prenoms (ID)]:[Localisation]],3,FALSE)</f>
        <v>ACCEFI</v>
      </c>
      <c r="J275" s="35">
        <f>VLOOKUP(Tableau65[[#This Row],[Utilisateur]],Tableau3[[Prenoms (ID)]:[CABINET]],4,FALSE)</f>
        <v>0</v>
      </c>
    </row>
    <row r="276" spans="1:13" x14ac:dyDescent="0.25">
      <c r="A276" s="2">
        <v>45481</v>
      </c>
      <c r="B276" t="s">
        <v>82</v>
      </c>
      <c r="C276" s="6">
        <v>1</v>
      </c>
      <c r="D276" t="s">
        <v>517</v>
      </c>
      <c r="G276" s="62" t="s">
        <v>335</v>
      </c>
      <c r="H276" t="str">
        <f>VLOOKUP(Tableau65[[#This Row],[Utilisateur]],Tableau3[[Prenoms (ID)]:[Localisation]],2,FALSE)</f>
        <v>Admin</v>
      </c>
      <c r="I276" t="str">
        <f>VLOOKUP(Tableau65[[#This Row],[Utilisateur]],Tableau3[[Prenoms (ID)]:[Localisation]],3,FALSE)</f>
        <v>DIRECTION</v>
      </c>
      <c r="J276">
        <f>VLOOKUP(Tableau65[[#This Row],[Utilisateur]],Tableau3[[Prenoms (ID)]:[CABINET]],4,FALSE)</f>
        <v>0</v>
      </c>
    </row>
    <row r="277" spans="1:13" x14ac:dyDescent="0.25">
      <c r="A277" s="2">
        <v>45482</v>
      </c>
      <c r="B277" t="s">
        <v>82</v>
      </c>
      <c r="C277" s="6">
        <v>1</v>
      </c>
      <c r="D277" t="s">
        <v>49</v>
      </c>
      <c r="G277" s="62" t="s">
        <v>407</v>
      </c>
      <c r="H277" s="35" t="str">
        <f>VLOOKUP(Tableau65[[#This Row],[Utilisateur]],Tableau3[[Prenoms (ID)]:[Localisation]],2,FALSE)</f>
        <v>QUALITE</v>
      </c>
      <c r="I277" s="35" t="str">
        <f>VLOOKUP(Tableau65[[#This Row],[Utilisateur]],Tableau3[[Prenoms (ID)]:[Localisation]],3,FALSE)</f>
        <v>CENTRE</v>
      </c>
      <c r="J277" s="35">
        <f>VLOOKUP(Tableau65[[#This Row],[Utilisateur]],Tableau3[[Prenoms (ID)]:[CABINET]],4,FALSE)</f>
        <v>0</v>
      </c>
    </row>
    <row r="278" spans="1:13" x14ac:dyDescent="0.25">
      <c r="A278" s="2">
        <v>45485</v>
      </c>
      <c r="B278" t="s">
        <v>52</v>
      </c>
      <c r="C278" s="57">
        <v>1</v>
      </c>
      <c r="D278" t="s">
        <v>49</v>
      </c>
      <c r="G278" t="s">
        <v>487</v>
      </c>
      <c r="H278" s="35" t="str">
        <f>VLOOKUP(Tableau65[[#This Row],[Utilisateur]],Tableau3[[Prenoms (ID)]:[Localisation]],2,FALSE)</f>
        <v>Optique / Sata</v>
      </c>
      <c r="I278" s="35" t="str">
        <f>VLOOKUP(Tableau65[[#This Row],[Utilisateur]],Tableau3[[Prenoms (ID)]:[Localisation]],3,FALSE)</f>
        <v>BNI1</v>
      </c>
      <c r="J278" s="35">
        <f>VLOOKUP(Tableau65[[#This Row],[Utilisateur]],Tableau3[[Prenoms (ID)]:[CABINET]],4,FALSE)</f>
        <v>0</v>
      </c>
    </row>
    <row r="279" spans="1:13" x14ac:dyDescent="0.25">
      <c r="A279" s="2">
        <v>45488</v>
      </c>
      <c r="B279" t="s">
        <v>139</v>
      </c>
      <c r="C279" s="6">
        <v>1</v>
      </c>
      <c r="D279" t="s">
        <v>49</v>
      </c>
      <c r="G279" t="s">
        <v>518</v>
      </c>
      <c r="H279" t="str">
        <f>VLOOKUP(Tableau65[[#This Row],[Utilisateur]],Tableau3[[Prenoms (ID)]:[Localisation]],2,FALSE)</f>
        <v>Audit CPA</v>
      </c>
      <c r="I279" t="str">
        <f>VLOOKUP(Tableau65[[#This Row],[Utilisateur]],Tableau3[[Prenoms (ID)]:[Localisation]],3,FALSE)</f>
        <v>AUDIT-CPA</v>
      </c>
      <c r="J279" t="str">
        <f>VLOOKUP(Tableau65[[#This Row],[Utilisateur]],Tableau3[[Prenoms (ID)]:[CABINET]],4,FALSE)</f>
        <v>CPA</v>
      </c>
    </row>
    <row r="280" spans="1:13" x14ac:dyDescent="0.25">
      <c r="A280" s="2">
        <v>45489</v>
      </c>
      <c r="B280" t="s">
        <v>25</v>
      </c>
      <c r="C280" s="6">
        <v>1</v>
      </c>
      <c r="D280" t="s">
        <v>49</v>
      </c>
      <c r="G280" t="s">
        <v>519</v>
      </c>
      <c r="H280" t="str">
        <f>VLOOKUP(Tableau65[[#This Row],[Utilisateur]],Tableau3[[Prenoms (ID)]:[Localisation]],2,FALSE)</f>
        <v>Ozeo</v>
      </c>
      <c r="I280" t="str">
        <f>VLOOKUP(Tableau65[[#This Row],[Utilisateur]],Tableau3[[Prenoms (ID)]:[Localisation]],3,FALSE)</f>
        <v>CENTRE</v>
      </c>
      <c r="J280">
        <f>VLOOKUP(Tableau65[[#This Row],[Utilisateur]],Tableau3[[Prenoms (ID)]:[CABINET]],4,FALSE)</f>
        <v>0</v>
      </c>
    </row>
    <row r="281" spans="1:13" x14ac:dyDescent="0.25">
      <c r="A281" s="2">
        <v>45489</v>
      </c>
      <c r="B281" t="s">
        <v>54</v>
      </c>
      <c r="C281" s="6">
        <v>1</v>
      </c>
      <c r="D281" t="s">
        <v>49</v>
      </c>
      <c r="G281" t="s">
        <v>484</v>
      </c>
      <c r="H281" t="str">
        <f>VLOOKUP(Tableau65[[#This Row],[Utilisateur]],Tableau3[[Prenoms (ID)]:[Localisation]],2,FALSE)</f>
        <v>Info/Dev</v>
      </c>
      <c r="I281" t="str">
        <f>VLOOKUP(Tableau65[[#This Row],[Utilisateur]],Tableau3[[Prenoms (ID)]:[Localisation]],3,FALSE)</f>
        <v>Informatique</v>
      </c>
      <c r="J281">
        <f>VLOOKUP(Tableau65[[#This Row],[Utilisateur]],Tableau3[[Prenoms (ID)]:[CABINET]],4,FALSE)</f>
        <v>0</v>
      </c>
    </row>
    <row r="282" spans="1:13" x14ac:dyDescent="0.25">
      <c r="A282" s="2">
        <v>45489</v>
      </c>
      <c r="B282" t="s">
        <v>52</v>
      </c>
      <c r="C282" s="57">
        <v>1</v>
      </c>
      <c r="D282" t="s">
        <v>49</v>
      </c>
      <c r="G282" t="s">
        <v>484</v>
      </c>
      <c r="H282" t="str">
        <f>VLOOKUP(Tableau65[[#This Row],[Utilisateur]],Tableau3[[Prenoms (ID)]:[Localisation]],2,FALSE)</f>
        <v>Info/Dev</v>
      </c>
      <c r="I282" t="str">
        <f>VLOOKUP(Tableau65[[#This Row],[Utilisateur]],Tableau3[[Prenoms (ID)]:[Localisation]],3,FALSE)</f>
        <v>Informatique</v>
      </c>
      <c r="J282">
        <f>VLOOKUP(Tableau65[[#This Row],[Utilisateur]],Tableau3[[Prenoms (ID)]:[CABINET]],4,FALSE)</f>
        <v>0</v>
      </c>
    </row>
    <row r="283" spans="1:13" x14ac:dyDescent="0.25">
      <c r="A283" s="2">
        <v>45425</v>
      </c>
      <c r="B283" t="s">
        <v>24</v>
      </c>
      <c r="C283" s="6">
        <v>1</v>
      </c>
      <c r="D283" t="s">
        <v>49</v>
      </c>
      <c r="G283" t="s">
        <v>431</v>
      </c>
      <c r="H283" t="str">
        <f>VLOOKUP(Tableau65[[#This Row],[Utilisateur]],Tableau3[[Prenoms (ID)]:[Localisation]],2,FALSE)</f>
        <v>-</v>
      </c>
      <c r="I283" t="str">
        <f>VLOOKUP(Tableau65[[#This Row],[Utilisateur]],Tableau3[[Prenoms (ID)]:[Localisation]],3,FALSE)</f>
        <v>BIRA</v>
      </c>
      <c r="J283" t="str">
        <f>VLOOKUP(Tableau65[[#This Row],[Utilisateur]],Tableau3[[Prenoms (ID)]:[CABINET]],4,FALSE)</f>
        <v>CPA</v>
      </c>
      <c r="M283" t="s">
        <v>520</v>
      </c>
    </row>
    <row r="284" spans="1:13" x14ac:dyDescent="0.25">
      <c r="A284" s="2">
        <v>45490</v>
      </c>
      <c r="B284" t="s">
        <v>52</v>
      </c>
      <c r="C284" s="57">
        <v>1</v>
      </c>
      <c r="D284" t="s">
        <v>49</v>
      </c>
      <c r="G284" t="s">
        <v>521</v>
      </c>
      <c r="H284" t="str">
        <f>VLOOKUP(Tableau65[[#This Row],[Utilisateur]],Tableau3[[Prenoms (ID)]:[Localisation]],2,FALSE)</f>
        <v>Exaulia</v>
      </c>
      <c r="I284" t="str">
        <f>VLOOKUP(Tableau65[[#This Row],[Utilisateur]],Tableau3[[Prenoms (ID)]:[Localisation]],3,FALSE)</f>
        <v>BNI1</v>
      </c>
      <c r="J284">
        <f>VLOOKUP(Tableau65[[#This Row],[Utilisateur]],Tableau3[[Prenoms (ID)]:[CABINET]],4,FALSE)</f>
        <v>0</v>
      </c>
    </row>
    <row r="285" spans="1:13" x14ac:dyDescent="0.25">
      <c r="A285" s="2">
        <v>45491</v>
      </c>
      <c r="B285" t="s">
        <v>64</v>
      </c>
      <c r="C285" s="6">
        <v>1</v>
      </c>
      <c r="D285" t="s">
        <v>49</v>
      </c>
      <c r="G285" t="s">
        <v>462</v>
      </c>
      <c r="H285" t="str">
        <f>VLOOKUP(Tableau65[[#This Row],[Utilisateur]],Tableau3[[Prenoms (ID)]:[Localisation]],2,FALSE)</f>
        <v>Audit CPA</v>
      </c>
      <c r="I285" t="str">
        <f>VLOOKUP(Tableau65[[#This Row],[Utilisateur]],Tableau3[[Prenoms (ID)]:[Localisation]],3,FALSE)</f>
        <v>MADAFIT</v>
      </c>
      <c r="J285" t="str">
        <f>VLOOKUP(Tableau65[[#This Row],[Utilisateur]],Tableau3[[Prenoms (ID)]:[CABINET]],4,FALSE)</f>
        <v>CPA</v>
      </c>
    </row>
    <row r="286" spans="1:13" x14ac:dyDescent="0.25">
      <c r="A286" s="2">
        <v>45443</v>
      </c>
      <c r="B286" t="s">
        <v>24</v>
      </c>
      <c r="C286" s="6">
        <v>1</v>
      </c>
      <c r="D286" t="s">
        <v>49</v>
      </c>
      <c r="G286" t="s">
        <v>405</v>
      </c>
      <c r="H286" t="str">
        <f>VLOOKUP(Tableau65[[#This Row],[Utilisateur]],Tableau3[[Prenoms (ID)]:[Localisation]],2,FALSE)</f>
        <v>QUALITE</v>
      </c>
      <c r="I286" t="str">
        <f>VLOOKUP(Tableau65[[#This Row],[Utilisateur]],Tableau3[[Prenoms (ID)]:[Localisation]],3,FALSE)</f>
        <v>QUALITE</v>
      </c>
      <c r="J286">
        <f>VLOOKUP(Tableau65[[#This Row],[Utilisateur]],Tableau3[[Prenoms (ID)]:[CABINET]],4,FALSE)</f>
        <v>0</v>
      </c>
    </row>
    <row r="287" spans="1:13" x14ac:dyDescent="0.25">
      <c r="A287" s="2">
        <v>45495</v>
      </c>
      <c r="B287" t="s">
        <v>84</v>
      </c>
      <c r="C287" s="6">
        <v>1</v>
      </c>
      <c r="D287" t="s">
        <v>49</v>
      </c>
      <c r="G287" t="s">
        <v>522</v>
      </c>
      <c r="H287" t="str">
        <f>VLOOKUP(Tableau65[[#This Row],[Utilisateur]],Tableau3[[Prenoms (ID)]:[Localisation]],2,FALSE)</f>
        <v>Ravaka</v>
      </c>
      <c r="I287" t="str">
        <f>VLOOKUP(Tableau65[[#This Row],[Utilisateur]],Tableau3[[Prenoms (ID)]:[Localisation]],3,FALSE)</f>
        <v>QUALITE</v>
      </c>
      <c r="J287">
        <f>VLOOKUP(Tableau65[[#This Row],[Utilisateur]],Tableau3[[Prenoms (ID)]:[CABINET]],4,FALSE)</f>
        <v>0</v>
      </c>
    </row>
    <row r="288" spans="1:13" x14ac:dyDescent="0.25">
      <c r="A288" s="2">
        <v>45495</v>
      </c>
      <c r="B288" t="s">
        <v>52</v>
      </c>
      <c r="C288" s="57">
        <v>1</v>
      </c>
      <c r="D288" t="s">
        <v>49</v>
      </c>
      <c r="G288" t="s">
        <v>516</v>
      </c>
      <c r="H288" t="str">
        <f>VLOOKUP(Tableau65[[#This Row],[Utilisateur]],Tableau3[[Prenoms (ID)]:[Localisation]],2,FALSE)</f>
        <v>Ravaka</v>
      </c>
      <c r="I288" t="str">
        <f>VLOOKUP(Tableau65[[#This Row],[Utilisateur]],Tableau3[[Prenoms (ID)]:[Localisation]],3,FALSE)</f>
        <v>ACCEFI</v>
      </c>
      <c r="J288">
        <f>VLOOKUP(Tableau65[[#This Row],[Utilisateur]],Tableau3[[Prenoms (ID)]:[CABINET]],4,FALSE)</f>
        <v>0</v>
      </c>
    </row>
    <row r="289" spans="1:10" x14ac:dyDescent="0.25">
      <c r="A289" s="2">
        <v>45498</v>
      </c>
      <c r="B289" t="s">
        <v>52</v>
      </c>
      <c r="C289" s="57">
        <v>1</v>
      </c>
      <c r="D289" t="s">
        <v>49</v>
      </c>
      <c r="G289" t="s">
        <v>523</v>
      </c>
      <c r="H289" t="str">
        <f>VLOOKUP(Tableau65[[#This Row],[Utilisateur]],Tableau3[[Prenoms (ID)]:[Localisation]],2,FALSE)</f>
        <v>PROGEXION</v>
      </c>
      <c r="I289" t="str">
        <f>VLOOKUP(Tableau65[[#This Row],[Utilisateur]],Tableau3[[Prenoms (ID)]:[Localisation]],3,FALSE)</f>
        <v>ARSAC</v>
      </c>
      <c r="J289">
        <f>VLOOKUP(Tableau65[[#This Row],[Utilisateur]],Tableau3[[Prenoms (ID)]:[CABINET]],4,FALSE)</f>
        <v>0</v>
      </c>
    </row>
    <row r="290" spans="1:10" x14ac:dyDescent="0.25">
      <c r="A290" s="2">
        <v>45498</v>
      </c>
      <c r="B290" t="s">
        <v>52</v>
      </c>
      <c r="C290" s="57">
        <v>1</v>
      </c>
      <c r="D290" t="s">
        <v>49</v>
      </c>
      <c r="G290" t="s">
        <v>524</v>
      </c>
      <c r="H290" t="str">
        <f>VLOOKUP(Tableau65[[#This Row],[Utilisateur]],Tableau3[[Prenoms (ID)]:[Localisation]],2,FALSE)</f>
        <v>NE2C</v>
      </c>
      <c r="I290" t="str">
        <f>VLOOKUP(Tableau65[[#This Row],[Utilisateur]],Tableau3[[Prenoms (ID)]:[Localisation]],3,FALSE)</f>
        <v>ARSAC</v>
      </c>
      <c r="J290">
        <f>VLOOKUP(Tableau65[[#This Row],[Utilisateur]],Tableau3[[Prenoms (ID)]:[CABINET]],4,FALSE)</f>
        <v>0</v>
      </c>
    </row>
    <row r="291" spans="1:10" x14ac:dyDescent="0.25">
      <c r="A291" s="2">
        <v>45498</v>
      </c>
      <c r="B291" t="s">
        <v>139</v>
      </c>
      <c r="C291" s="6">
        <v>1</v>
      </c>
      <c r="D291" t="s">
        <v>49</v>
      </c>
      <c r="G291" t="s">
        <v>324</v>
      </c>
      <c r="H291" t="str">
        <f>VLOOKUP(Tableau65[[#This Row],[Utilisateur]],Tableau3[[Prenoms (ID)]:[Localisation]],2,FALSE)</f>
        <v>Optique / Mirado</v>
      </c>
      <c r="I291" t="str">
        <f>VLOOKUP(Tableau65[[#This Row],[Utilisateur]],Tableau3[[Prenoms (ID)]:[Localisation]],3,FALSE)</f>
        <v>BNI1</v>
      </c>
      <c r="J291">
        <f>VLOOKUP(Tableau65[[#This Row],[Utilisateur]],Tableau3[[Prenoms (ID)]:[CABINET]],4,FALSE)</f>
        <v>0</v>
      </c>
    </row>
    <row r="292" spans="1:10" x14ac:dyDescent="0.25">
      <c r="A292" s="2">
        <v>45498</v>
      </c>
      <c r="B292" t="s">
        <v>52</v>
      </c>
      <c r="C292" s="57">
        <v>1</v>
      </c>
      <c r="D292" t="s">
        <v>49</v>
      </c>
      <c r="G292" t="s">
        <v>525</v>
      </c>
      <c r="H292" s="35" t="str">
        <f>VLOOKUP(Tableau65[[#This Row],[Utilisateur]],Tableau3[[Prenoms (ID)]:[Localisation]],2,FALSE)</f>
        <v>Exaulia</v>
      </c>
      <c r="I292" s="35" t="str">
        <f>VLOOKUP(Tableau65[[#This Row],[Utilisateur]],Tableau3[[Prenoms (ID)]:[Localisation]],3,FALSE)</f>
        <v>BNI1</v>
      </c>
      <c r="J292" s="35">
        <f>VLOOKUP(Tableau65[[#This Row],[Utilisateur]],Tableau3[[Prenoms (ID)]:[CABINET]],4,FALSE)</f>
        <v>0</v>
      </c>
    </row>
    <row r="293" spans="1:10" x14ac:dyDescent="0.25">
      <c r="A293" s="2">
        <v>45464</v>
      </c>
      <c r="B293" t="s">
        <v>24</v>
      </c>
      <c r="C293" s="6">
        <v>1</v>
      </c>
      <c r="D293" t="s">
        <v>49</v>
      </c>
      <c r="G293" t="s">
        <v>338</v>
      </c>
      <c r="H293" t="str">
        <f>VLOOKUP(Tableau65[[#This Row],[Utilisateur]],Tableau3[[Prenoms (ID)]:[Localisation]],2,FALSE)</f>
        <v>Audit CPA</v>
      </c>
      <c r="I293" t="str">
        <f>VLOOKUP(Tableau65[[#This Row],[Utilisateur]],Tableau3[[Prenoms (ID)]:[Localisation]],3,FALSE)</f>
        <v>AUDIT-CPA</v>
      </c>
      <c r="J293" t="str">
        <f>VLOOKUP(Tableau65[[#This Row],[Utilisateur]],Tableau3[[Prenoms (ID)]:[CABINET]],4,FALSE)</f>
        <v>CPA</v>
      </c>
    </row>
    <row r="294" spans="1:10" x14ac:dyDescent="0.25">
      <c r="A294" s="2">
        <v>45467</v>
      </c>
      <c r="B294" t="s">
        <v>24</v>
      </c>
      <c r="C294" s="6">
        <v>1</v>
      </c>
      <c r="D294" t="s">
        <v>49</v>
      </c>
      <c r="G294" t="s">
        <v>526</v>
      </c>
      <c r="H294" t="str">
        <f>VLOOKUP(Tableau65[[#This Row],[Utilisateur]],Tableau3[[Prenoms (ID)]:[Localisation]],2,FALSE)</f>
        <v>Eccentive</v>
      </c>
      <c r="I294" t="str">
        <f>VLOOKUP(Tableau65[[#This Row],[Utilisateur]],Tableau3[[Prenoms (ID)]:[Localisation]],3,FALSE)</f>
        <v>ECCENTIVE</v>
      </c>
      <c r="J294">
        <f>VLOOKUP(Tableau65[[#This Row],[Utilisateur]],Tableau3[[Prenoms (ID)]:[CABINET]],4,FALSE)</f>
        <v>0</v>
      </c>
    </row>
    <row r="295" spans="1:10" x14ac:dyDescent="0.25">
      <c r="A295" s="2">
        <v>45499</v>
      </c>
      <c r="B295" t="s">
        <v>54</v>
      </c>
      <c r="C295" s="6">
        <v>1</v>
      </c>
      <c r="D295" t="s">
        <v>49</v>
      </c>
      <c r="G295" t="s">
        <v>527</v>
      </c>
      <c r="H295" t="str">
        <f>VLOOKUP(Tableau65[[#This Row],[Utilisateur]],Tableau3[[Prenoms (ID)]:[Localisation]],2,FALSE)</f>
        <v>Accefi</v>
      </c>
      <c r="I295" t="str">
        <f>VLOOKUP(Tableau65[[#This Row],[Utilisateur]],Tableau3[[Prenoms (ID)]:[Localisation]],3,FALSE)</f>
        <v>ACCEFI</v>
      </c>
      <c r="J295" t="str">
        <f>VLOOKUP(Tableau65[[#This Row],[Utilisateur]],Tableau3[[Prenoms (ID)]:[CABINET]],4,FALSE)</f>
        <v>CPA</v>
      </c>
    </row>
    <row r="296" spans="1:10" x14ac:dyDescent="0.25">
      <c r="A296" s="2">
        <v>45499</v>
      </c>
      <c r="B296" t="s">
        <v>54</v>
      </c>
      <c r="C296" s="6">
        <v>1</v>
      </c>
      <c r="D296" t="s">
        <v>49</v>
      </c>
      <c r="G296" t="s">
        <v>528</v>
      </c>
      <c r="H296" t="e">
        <f>VLOOKUP(Tableau65[[#This Row],[Utilisateur]],Tableau3[[Prenoms (ID)]:[Localisation]],2,FALSE)</f>
        <v>#N/A</v>
      </c>
      <c r="I296" t="e">
        <f>VLOOKUP(Tableau65[[#This Row],[Utilisateur]],Tableau3[[Prenoms (ID)]:[Localisation]],3,FALSE)</f>
        <v>#N/A</v>
      </c>
      <c r="J296" t="e">
        <f>VLOOKUP(Tableau65[[#This Row],[Utilisateur]],Tableau3[[Prenoms (ID)]:[CABINET]],4,FALSE)</f>
        <v>#N/A</v>
      </c>
    </row>
    <row r="297" spans="1:10" x14ac:dyDescent="0.25">
      <c r="A297" s="2">
        <v>45499</v>
      </c>
      <c r="B297" t="s">
        <v>54</v>
      </c>
      <c r="C297" s="6">
        <v>1</v>
      </c>
      <c r="D297" t="s">
        <v>49</v>
      </c>
      <c r="G297" t="s">
        <v>403</v>
      </c>
      <c r="H297" t="str">
        <f>VLOOKUP(Tableau65[[#This Row],[Utilisateur]],Tableau3[[Prenoms (ID)]:[Localisation]],2,FALSE)</f>
        <v>Accefi</v>
      </c>
      <c r="I297" t="str">
        <f>VLOOKUP(Tableau65[[#This Row],[Utilisateur]],Tableau3[[Prenoms (ID)]:[Localisation]],3,FALSE)</f>
        <v>ACCEFI</v>
      </c>
      <c r="J297" t="str">
        <f>VLOOKUP(Tableau65[[#This Row],[Utilisateur]],Tableau3[[Prenoms (ID)]:[CABINET]],4,FALSE)</f>
        <v>CPA</v>
      </c>
    </row>
    <row r="298" spans="1:10" x14ac:dyDescent="0.25">
      <c r="A298" s="2">
        <v>45499</v>
      </c>
      <c r="B298" t="s">
        <v>54</v>
      </c>
      <c r="C298" s="6">
        <v>1</v>
      </c>
      <c r="D298" t="s">
        <v>49</v>
      </c>
      <c r="G298" t="s">
        <v>516</v>
      </c>
      <c r="H298" t="str">
        <f>VLOOKUP(Tableau65[[#This Row],[Utilisateur]],Tableau3[[Prenoms (ID)]:[Localisation]],2,FALSE)</f>
        <v>Ravaka</v>
      </c>
      <c r="I298" t="str">
        <f>VLOOKUP(Tableau65[[#This Row],[Utilisateur]],Tableau3[[Prenoms (ID)]:[Localisation]],3,FALSE)</f>
        <v>ACCEFI</v>
      </c>
      <c r="J298">
        <f>VLOOKUP(Tableau65[[#This Row],[Utilisateur]],Tableau3[[Prenoms (ID)]:[CABINET]],4,FALSE)</f>
        <v>0</v>
      </c>
    </row>
    <row r="299" spans="1:10" x14ac:dyDescent="0.25">
      <c r="A299" s="2">
        <v>45499</v>
      </c>
      <c r="B299" t="s">
        <v>54</v>
      </c>
      <c r="C299" s="6">
        <v>1</v>
      </c>
      <c r="D299" t="s">
        <v>49</v>
      </c>
      <c r="G299" t="s">
        <v>529</v>
      </c>
      <c r="H299" t="str">
        <f>VLOOKUP(Tableau65[[#This Row],[Utilisateur]],Tableau3[[Prenoms (ID)]:[Localisation]],2,FALSE)</f>
        <v>Accefi</v>
      </c>
      <c r="I299" t="str">
        <f>VLOOKUP(Tableau65[[#This Row],[Utilisateur]],Tableau3[[Prenoms (ID)]:[Localisation]],3,FALSE)</f>
        <v>ACCEFI</v>
      </c>
      <c r="J299" t="str">
        <f>VLOOKUP(Tableau65[[#This Row],[Utilisateur]],Tableau3[[Prenoms (ID)]:[CABINET]],4,FALSE)</f>
        <v>CPA</v>
      </c>
    </row>
    <row r="300" spans="1:10" x14ac:dyDescent="0.25">
      <c r="A300" s="2">
        <v>45499</v>
      </c>
      <c r="B300" t="s">
        <v>54</v>
      </c>
      <c r="C300" s="6">
        <v>1</v>
      </c>
      <c r="D300" t="s">
        <v>49</v>
      </c>
      <c r="G300" t="s">
        <v>530</v>
      </c>
      <c r="H300" t="str">
        <f>VLOOKUP(Tableau65[[#This Row],[Utilisateur]],Tableau3[[Prenoms (ID)]:[Localisation]],2,FALSE)</f>
        <v>Accefi</v>
      </c>
      <c r="I300" t="str">
        <f>VLOOKUP(Tableau65[[#This Row],[Utilisateur]],Tableau3[[Prenoms (ID)]:[Localisation]],3,FALSE)</f>
        <v>ACCEFI</v>
      </c>
      <c r="J300" t="str">
        <f>VLOOKUP(Tableau65[[#This Row],[Utilisateur]],Tableau3[[Prenoms (ID)]:[CABINET]],4,FALSE)</f>
        <v>CPA</v>
      </c>
    </row>
    <row r="301" spans="1:10" x14ac:dyDescent="0.25">
      <c r="A301" s="2">
        <v>45499</v>
      </c>
      <c r="B301" t="s">
        <v>54</v>
      </c>
      <c r="C301" s="6">
        <v>1</v>
      </c>
      <c r="D301" t="s">
        <v>49</v>
      </c>
      <c r="G301" t="s">
        <v>327</v>
      </c>
      <c r="H301" t="str">
        <f>VLOOKUP(Tableau65[[#This Row],[Utilisateur]],Tableau3[[Prenoms (ID)]:[Localisation]],2,FALSE)</f>
        <v>Accefi</v>
      </c>
      <c r="I301" t="str">
        <f>VLOOKUP(Tableau65[[#This Row],[Utilisateur]],Tableau3[[Prenoms (ID)]:[Localisation]],3,FALSE)</f>
        <v>ACCEFI</v>
      </c>
      <c r="J301" t="str">
        <f>VLOOKUP(Tableau65[[#This Row],[Utilisateur]],Tableau3[[Prenoms (ID)]:[CABINET]],4,FALSE)</f>
        <v>CPA</v>
      </c>
    </row>
    <row r="302" spans="1:10" x14ac:dyDescent="0.25">
      <c r="A302" s="2">
        <v>45499</v>
      </c>
      <c r="B302" t="s">
        <v>54</v>
      </c>
      <c r="C302" s="6">
        <v>1</v>
      </c>
      <c r="D302" t="s">
        <v>49</v>
      </c>
      <c r="G302" t="s">
        <v>87</v>
      </c>
      <c r="H302" t="str">
        <f>VLOOKUP(Tableau65[[#This Row],[Utilisateur]],Tableau3[[Prenoms (ID)]:[Localisation]],2,FALSE)</f>
        <v>Accefi</v>
      </c>
      <c r="I302" t="str">
        <f>VLOOKUP(Tableau65[[#This Row],[Utilisateur]],Tableau3[[Prenoms (ID)]:[Localisation]],3,FALSE)</f>
        <v>ACCEFI</v>
      </c>
      <c r="J302" t="str">
        <f>VLOOKUP(Tableau65[[#This Row],[Utilisateur]],Tableau3[[Prenoms (ID)]:[CABINET]],4,FALSE)</f>
        <v>CPA</v>
      </c>
    </row>
    <row r="303" spans="1:10" x14ac:dyDescent="0.25">
      <c r="A303" s="2">
        <v>45499</v>
      </c>
      <c r="B303" t="s">
        <v>54</v>
      </c>
      <c r="C303" s="6">
        <v>1</v>
      </c>
      <c r="D303" t="s">
        <v>49</v>
      </c>
      <c r="G303" t="s">
        <v>531</v>
      </c>
      <c r="H303" t="str">
        <f>VLOOKUP(Tableau65[[#This Row],[Utilisateur]],Tableau3[[Prenoms (ID)]:[Localisation]],2,FALSE)</f>
        <v>Accefi</v>
      </c>
      <c r="I303" t="str">
        <f>VLOOKUP(Tableau65[[#This Row],[Utilisateur]],Tableau3[[Prenoms (ID)]:[Localisation]],3,FALSE)</f>
        <v>ACCEFI</v>
      </c>
      <c r="J303" t="str">
        <f>VLOOKUP(Tableau65[[#This Row],[Utilisateur]],Tableau3[[Prenoms (ID)]:[CABINET]],4,FALSE)</f>
        <v>CPA</v>
      </c>
    </row>
    <row r="304" spans="1:10" x14ac:dyDescent="0.25">
      <c r="A304" s="2">
        <v>45502</v>
      </c>
      <c r="B304" t="s">
        <v>52</v>
      </c>
      <c r="C304" s="57">
        <v>1</v>
      </c>
      <c r="D304" t="s">
        <v>49</v>
      </c>
      <c r="G304" t="s">
        <v>477</v>
      </c>
      <c r="H304" s="35" t="str">
        <f>VLOOKUP(Tableau65[[#This Row],[Utilisateur]],Tableau3[[Prenoms (ID)]:[Localisation]],2,FALSE)</f>
        <v>Xperia</v>
      </c>
      <c r="I304" s="35" t="str">
        <f>VLOOKUP(Tableau65[[#This Row],[Utilisateur]],Tableau3[[Prenoms (ID)]:[Localisation]],3,FALSE)</f>
        <v>SOCIAL</v>
      </c>
      <c r="J304" s="35">
        <f>VLOOKUP(Tableau65[[#This Row],[Utilisateur]],Tableau3[[Prenoms (ID)]:[CABINET]],4,FALSE)</f>
        <v>0</v>
      </c>
    </row>
    <row r="305" spans="1:10" x14ac:dyDescent="0.25">
      <c r="A305" s="2">
        <v>45504</v>
      </c>
      <c r="B305" t="s">
        <v>52</v>
      </c>
      <c r="C305" s="57">
        <v>1</v>
      </c>
      <c r="D305" t="s">
        <v>49</v>
      </c>
      <c r="G305" t="s">
        <v>384</v>
      </c>
      <c r="H305" t="str">
        <f>VLOOKUP(Tableau65[[#This Row],[Utilisateur]],Tableau3[[Prenoms (ID)]:[Localisation]],2,FALSE)</f>
        <v>Eccentive</v>
      </c>
      <c r="I305" t="str">
        <f>VLOOKUP(Tableau65[[#This Row],[Utilisateur]],Tableau3[[Prenoms (ID)]:[Localisation]],3,FALSE)</f>
        <v>ECCENTIVE</v>
      </c>
      <c r="J305">
        <f>VLOOKUP(Tableau65[[#This Row],[Utilisateur]],Tableau3[[Prenoms (ID)]:[CABINET]],4,FALSE)</f>
        <v>0</v>
      </c>
    </row>
    <row r="306" spans="1:10" x14ac:dyDescent="0.25">
      <c r="A306" s="2">
        <v>45504</v>
      </c>
      <c r="B306" t="s">
        <v>52</v>
      </c>
      <c r="C306" s="57">
        <v>1</v>
      </c>
      <c r="D306" t="s">
        <v>49</v>
      </c>
      <c r="G306" t="s">
        <v>532</v>
      </c>
      <c r="H306" t="e">
        <f>VLOOKUP(Tableau65[[#This Row],[Utilisateur]],Tableau3[[Prenoms (ID)]:[Localisation]],2,FALSE)</f>
        <v>#N/A</v>
      </c>
      <c r="I306" t="e">
        <f>VLOOKUP(Tableau65[[#This Row],[Utilisateur]],Tableau3[[Prenoms (ID)]:[Localisation]],3,FALSE)</f>
        <v>#N/A</v>
      </c>
      <c r="J306" t="e">
        <f>VLOOKUP(Tableau65[[#This Row],[Utilisateur]],Tableau3[[Prenoms (ID)]:[CABINET]],4,FALSE)</f>
        <v>#N/A</v>
      </c>
    </row>
    <row r="307" spans="1:10" x14ac:dyDescent="0.25">
      <c r="A307" s="2">
        <v>45506</v>
      </c>
      <c r="B307" t="s">
        <v>52</v>
      </c>
      <c r="C307" s="57">
        <v>1</v>
      </c>
      <c r="D307" t="s">
        <v>49</v>
      </c>
      <c r="G307" t="s">
        <v>533</v>
      </c>
      <c r="H307" t="str">
        <f>VLOOKUP(Tableau65[[#This Row],[Utilisateur]],Tableau3[[Prenoms (ID)]:[Localisation]],2,FALSE)</f>
        <v>Xperia</v>
      </c>
      <c r="I307" t="str">
        <f>VLOOKUP(Tableau65[[#This Row],[Utilisateur]],Tableau3[[Prenoms (ID)]:[Localisation]],3,FALSE)</f>
        <v>SOCIAL</v>
      </c>
      <c r="J307">
        <f>VLOOKUP(Tableau65[[#This Row],[Utilisateur]],Tableau3[[Prenoms (ID)]:[CABINET]],4,FALSE)</f>
        <v>0</v>
      </c>
    </row>
    <row r="308" spans="1:10" x14ac:dyDescent="0.25">
      <c r="A308" s="2">
        <v>45506</v>
      </c>
      <c r="B308" t="s">
        <v>52</v>
      </c>
      <c r="C308" s="57">
        <v>1</v>
      </c>
      <c r="D308" t="s">
        <v>49</v>
      </c>
      <c r="G308" t="s">
        <v>319</v>
      </c>
      <c r="H308" t="str">
        <f>VLOOKUP(Tableau65[[#This Row],[Utilisateur]],Tableau3[[Prenoms (ID)]:[Localisation]],2,FALSE)</f>
        <v>Xperia</v>
      </c>
      <c r="I308" t="str">
        <f>VLOOKUP(Tableau65[[#This Row],[Utilisateur]],Tableau3[[Prenoms (ID)]:[Localisation]],3,FALSE)</f>
        <v>SOCIAL</v>
      </c>
      <c r="J308">
        <f>VLOOKUP(Tableau65[[#This Row],[Utilisateur]],Tableau3[[Prenoms (ID)]:[CABINET]],4,FALSE)</f>
        <v>0</v>
      </c>
    </row>
    <row r="309" spans="1:10" x14ac:dyDescent="0.25">
      <c r="A309" s="2">
        <v>45506</v>
      </c>
      <c r="B309" t="s">
        <v>54</v>
      </c>
      <c r="C309" s="6">
        <v>1</v>
      </c>
      <c r="D309" t="s">
        <v>49</v>
      </c>
      <c r="G309" t="s">
        <v>319</v>
      </c>
      <c r="H309" t="str">
        <f>VLOOKUP(Tableau65[[#This Row],[Utilisateur]],Tableau3[[Prenoms (ID)]:[Localisation]],2,FALSE)</f>
        <v>Xperia</v>
      </c>
      <c r="I309" t="str">
        <f>VLOOKUP(Tableau65[[#This Row],[Utilisateur]],Tableau3[[Prenoms (ID)]:[Localisation]],3,FALSE)</f>
        <v>SOCIAL</v>
      </c>
      <c r="J309">
        <f>VLOOKUP(Tableau65[[#This Row],[Utilisateur]],Tableau3[[Prenoms (ID)]:[CABINET]],4,FALSE)</f>
        <v>0</v>
      </c>
    </row>
    <row r="310" spans="1:10" x14ac:dyDescent="0.25">
      <c r="A310" s="2">
        <v>45506</v>
      </c>
      <c r="B310" t="s">
        <v>54</v>
      </c>
      <c r="C310" s="6">
        <v>1</v>
      </c>
      <c r="D310" t="s">
        <v>49</v>
      </c>
      <c r="G310" t="s">
        <v>533</v>
      </c>
      <c r="H310" t="str">
        <f>VLOOKUP(Tableau65[[#This Row],[Utilisateur]],Tableau3[[Prenoms (ID)]:[Localisation]],2,FALSE)</f>
        <v>Xperia</v>
      </c>
      <c r="I310" t="str">
        <f>VLOOKUP(Tableau65[[#This Row],[Utilisateur]],Tableau3[[Prenoms (ID)]:[Localisation]],3,FALSE)</f>
        <v>SOCIAL</v>
      </c>
      <c r="J310">
        <f>VLOOKUP(Tableau65[[#This Row],[Utilisateur]],Tableau3[[Prenoms (ID)]:[CABINET]],4,FALSE)</f>
        <v>0</v>
      </c>
    </row>
    <row r="311" spans="1:10" x14ac:dyDescent="0.25">
      <c r="A311" s="2">
        <v>45509</v>
      </c>
      <c r="B311" t="s">
        <v>52</v>
      </c>
      <c r="C311" s="57">
        <v>1</v>
      </c>
      <c r="D311" t="s">
        <v>49</v>
      </c>
      <c r="G311" t="s">
        <v>328</v>
      </c>
      <c r="H311" s="35" t="str">
        <f>VLOOKUP(Tableau65[[#This Row],[Utilisateur]],Tableau3[[Prenoms (ID)]:[Localisation]],2,FALSE)</f>
        <v>Eccentive</v>
      </c>
      <c r="I311" s="35" t="str">
        <f>VLOOKUP(Tableau65[[#This Row],[Utilisateur]],Tableau3[[Prenoms (ID)]:[Localisation]],3,FALSE)</f>
        <v>ECCENTIVE</v>
      </c>
      <c r="J311" s="35">
        <f>VLOOKUP(Tableau65[[#This Row],[Utilisateur]],Tableau3[[Prenoms (ID)]:[CABINET]],4,FALSE)</f>
        <v>0</v>
      </c>
    </row>
    <row r="312" spans="1:10" x14ac:dyDescent="0.25">
      <c r="A312" s="2">
        <v>45509</v>
      </c>
      <c r="B312" t="s">
        <v>52</v>
      </c>
      <c r="C312" s="57">
        <v>1</v>
      </c>
      <c r="D312" t="s">
        <v>49</v>
      </c>
      <c r="G312" t="s">
        <v>534</v>
      </c>
      <c r="H312" s="35" t="str">
        <f>VLOOKUP(Tableau65[[#This Row],[Utilisateur]],Tableau3[[Prenoms (ID)]:[Localisation]],2,FALSE)</f>
        <v>Juridique</v>
      </c>
      <c r="I312" s="35" t="str">
        <f>VLOOKUP(Tableau65[[#This Row],[Utilisateur]],Tableau3[[Prenoms (ID)]:[Localisation]],3,FALSE)</f>
        <v>BNI2</v>
      </c>
      <c r="J312" s="35">
        <f>VLOOKUP(Tableau65[[#This Row],[Utilisateur]],Tableau3[[Prenoms (ID)]:[CABINET]],4,FALSE)</f>
        <v>0</v>
      </c>
    </row>
    <row r="313" spans="1:10" x14ac:dyDescent="0.25">
      <c r="A313" s="2">
        <v>45511</v>
      </c>
      <c r="B313" t="s">
        <v>54</v>
      </c>
      <c r="C313" s="6">
        <v>1</v>
      </c>
      <c r="D313" t="s">
        <v>49</v>
      </c>
      <c r="G313" t="s">
        <v>97</v>
      </c>
      <c r="H313" t="str">
        <f>VLOOKUP(Tableau65[[#This Row],[Utilisateur]],Tableau3[[Prenoms (ID)]:[Localisation]],2,FALSE)</f>
        <v>Info/Dev</v>
      </c>
      <c r="I313" t="str">
        <f>VLOOKUP(Tableau65[[#This Row],[Utilisateur]],Tableau3[[Prenoms (ID)]:[Localisation]],3,FALSE)</f>
        <v>Informatique</v>
      </c>
      <c r="J313">
        <f>VLOOKUP(Tableau65[[#This Row],[Utilisateur]],Tableau3[[Prenoms (ID)]:[CABINET]],4,FALSE)</f>
        <v>0</v>
      </c>
    </row>
    <row r="314" spans="1:10" x14ac:dyDescent="0.25">
      <c r="A314" s="2">
        <v>45518</v>
      </c>
      <c r="B314" t="s">
        <v>52</v>
      </c>
      <c r="C314" s="57">
        <v>1</v>
      </c>
      <c r="D314" t="s">
        <v>49</v>
      </c>
      <c r="G314" t="s">
        <v>535</v>
      </c>
      <c r="H314" s="35" t="str">
        <f>VLOOKUP(Tableau65[[#This Row],[Utilisateur]],Tableau3[[Prenoms (ID)]:[Localisation]],2,FALSE)</f>
        <v>Xperia</v>
      </c>
      <c r="I314" s="35" t="str">
        <f>VLOOKUP(Tableau65[[#This Row],[Utilisateur]],Tableau3[[Prenoms (ID)]:[Localisation]],3,FALSE)</f>
        <v>SOCIAL</v>
      </c>
      <c r="J314" s="35">
        <f>VLOOKUP(Tableau65[[#This Row],[Utilisateur]],Tableau3[[Prenoms (ID)]:[CABINET]],4,FALSE)</f>
        <v>0</v>
      </c>
    </row>
    <row r="315" spans="1:10" x14ac:dyDescent="0.25">
      <c r="A315" s="2">
        <v>45530</v>
      </c>
      <c r="B315" t="s">
        <v>52</v>
      </c>
      <c r="C315" s="57">
        <v>1</v>
      </c>
      <c r="D315" t="s">
        <v>49</v>
      </c>
      <c r="G315" t="s">
        <v>536</v>
      </c>
      <c r="H315" s="35" t="str">
        <f>VLOOKUP(Tableau65[[#This Row],[Utilisateur]],Tableau3[[Prenoms (ID)]:[Localisation]],2,FALSE)</f>
        <v>Accefi</v>
      </c>
      <c r="I315" s="35" t="str">
        <f>VLOOKUP(Tableau65[[#This Row],[Utilisateur]],Tableau3[[Prenoms (ID)]:[Localisation]],3,FALSE)</f>
        <v>ACCEFI</v>
      </c>
      <c r="J315" s="35" t="str">
        <f>VLOOKUP(Tableau65[[#This Row],[Utilisateur]],Tableau3[[Prenoms (ID)]:[CABINET]],4,FALSE)</f>
        <v>CPA</v>
      </c>
    </row>
    <row r="316" spans="1:10" x14ac:dyDescent="0.25">
      <c r="A316" s="2">
        <v>45538</v>
      </c>
      <c r="B316" t="s">
        <v>54</v>
      </c>
      <c r="C316" s="6">
        <v>1</v>
      </c>
      <c r="D316" t="s">
        <v>49</v>
      </c>
      <c r="G316" t="s">
        <v>376</v>
      </c>
      <c r="H316" t="str">
        <f>VLOOKUP(Tableau65[[#This Row],[Utilisateur]],Tableau3[[Prenoms (ID)]:[Localisation]],2,FALSE)</f>
        <v>Audit CPA</v>
      </c>
      <c r="I316" t="str">
        <f>VLOOKUP(Tableau65[[#This Row],[Utilisateur]],Tableau3[[Prenoms (ID)]:[Localisation]],3,FALSE)</f>
        <v>AUDIT-CPA</v>
      </c>
      <c r="J316" t="str">
        <f>VLOOKUP(Tableau65[[#This Row],[Utilisateur]],Tableau3[[Prenoms (ID)]:[CABINET]],4,FALSE)</f>
        <v>CPA</v>
      </c>
    </row>
    <row r="317" spans="1:10" x14ac:dyDescent="0.25">
      <c r="A317" s="2">
        <v>45538</v>
      </c>
      <c r="B317" t="s">
        <v>52</v>
      </c>
      <c r="C317" s="57">
        <v>1</v>
      </c>
      <c r="D317" t="s">
        <v>49</v>
      </c>
      <c r="G317" t="s">
        <v>342</v>
      </c>
      <c r="H317" t="str">
        <f>VLOOKUP(Tableau65[[#This Row],[Utilisateur]],Tableau3[[Prenoms (ID)]:[Localisation]],2,FALSE)</f>
        <v>COMPTASTAR</v>
      </c>
      <c r="I317" t="str">
        <f>VLOOKUP(Tableau65[[#This Row],[Utilisateur]],Tableau3[[Prenoms (ID)]:[Localisation]],3,FALSE)</f>
        <v>COMPTASTAR</v>
      </c>
      <c r="J317" t="str">
        <f>VLOOKUP(Tableau65[[#This Row],[Utilisateur]],Tableau3[[Prenoms (ID)]:[CABINET]],4,FALSE)</f>
        <v>CPA</v>
      </c>
    </row>
    <row r="318" spans="1:10" x14ac:dyDescent="0.25">
      <c r="A318" s="2">
        <v>45539</v>
      </c>
      <c r="B318" t="s">
        <v>52</v>
      </c>
      <c r="C318" s="57">
        <v>1</v>
      </c>
      <c r="D318" t="s">
        <v>49</v>
      </c>
      <c r="G318" t="s">
        <v>478</v>
      </c>
      <c r="H318" t="str">
        <f>VLOOKUP(Tableau65[[#This Row],[Utilisateur]],Tableau3[[Prenoms (ID)]:[Localisation]],2,FALSE)</f>
        <v>Apprenti</v>
      </c>
      <c r="I318" t="str">
        <f>VLOOKUP(Tableau65[[#This Row],[Utilisateur]],Tableau3[[Prenoms (ID)]:[Localisation]],3,FALSE)</f>
        <v>-</v>
      </c>
      <c r="J318">
        <f>VLOOKUP(Tableau65[[#This Row],[Utilisateur]],Tableau3[[Prenoms (ID)]:[CABINET]],4,FALSE)</f>
        <v>0</v>
      </c>
    </row>
    <row r="319" spans="1:10" x14ac:dyDescent="0.25">
      <c r="A319" s="2">
        <v>45540</v>
      </c>
      <c r="B319" t="s">
        <v>52</v>
      </c>
      <c r="C319" s="57">
        <v>1</v>
      </c>
      <c r="D319" t="s">
        <v>49</v>
      </c>
      <c r="G319" t="s">
        <v>522</v>
      </c>
      <c r="H319" t="str">
        <f>VLOOKUP(Tableau65[[#This Row],[Utilisateur]],Tableau3[[Prenoms (ID)]:[Localisation]],2,FALSE)</f>
        <v>Ravaka</v>
      </c>
      <c r="I319" t="str">
        <f>VLOOKUP(Tableau65[[#This Row],[Utilisateur]],Tableau3[[Prenoms (ID)]:[Localisation]],3,FALSE)</f>
        <v>QUALITE</v>
      </c>
      <c r="J319">
        <f>VLOOKUP(Tableau65[[#This Row],[Utilisateur]],Tableau3[[Prenoms (ID)]:[CABINET]],4,FALSE)</f>
        <v>0</v>
      </c>
    </row>
    <row r="320" spans="1:10" x14ac:dyDescent="0.25">
      <c r="A320" s="2">
        <v>45544</v>
      </c>
      <c r="B320" t="s">
        <v>52</v>
      </c>
      <c r="C320" s="57">
        <v>1</v>
      </c>
      <c r="D320" t="s">
        <v>49</v>
      </c>
      <c r="G320" t="s">
        <v>537</v>
      </c>
      <c r="H320" t="str">
        <f>VLOOKUP(Tableau65[[#This Row],[Utilisateur]],Tableau3[[Prenoms (ID)]:[Localisation]],2,FALSE)</f>
        <v>QUALITE</v>
      </c>
      <c r="I320" t="str">
        <f>VLOOKUP(Tableau65[[#This Row],[Utilisateur]],Tableau3[[Prenoms (ID)]:[Localisation]],3,FALSE)</f>
        <v>DIRECTION</v>
      </c>
      <c r="J320" t="str">
        <f>VLOOKUP(Tableau65[[#This Row],[Utilisateur]],Tableau3[[Prenoms (ID)]:[CABINET]],4,FALSE)</f>
        <v>CPA</v>
      </c>
    </row>
    <row r="321" spans="1:10" x14ac:dyDescent="0.25">
      <c r="A321" s="2">
        <v>45476</v>
      </c>
      <c r="B321" t="s">
        <v>24</v>
      </c>
      <c r="C321" s="6">
        <v>1</v>
      </c>
      <c r="D321" t="s">
        <v>49</v>
      </c>
      <c r="G321" t="s">
        <v>308</v>
      </c>
      <c r="H321" t="str">
        <f>VLOOKUP(Tableau65[[#This Row],[Utilisateur]],Tableau3[[Prenoms (ID)]:[Localisation]],2,FALSE)</f>
        <v>ADV</v>
      </c>
      <c r="I321" t="str">
        <f>VLOOKUP(Tableau65[[#This Row],[Utilisateur]],Tableau3[[Prenoms (ID)]:[Localisation]],3,FALSE)</f>
        <v>BIRA</v>
      </c>
      <c r="J321" t="str">
        <f>VLOOKUP(Tableau65[[#This Row],[Utilisateur]],Tableau3[[Prenoms (ID)]:[CABINET]],4,FALSE)</f>
        <v>CPA</v>
      </c>
    </row>
    <row r="322" spans="1:10" x14ac:dyDescent="0.25">
      <c r="A322" s="50">
        <v>45481</v>
      </c>
      <c r="B322" t="s">
        <v>24</v>
      </c>
      <c r="C322" s="6">
        <v>1</v>
      </c>
      <c r="D322" t="s">
        <v>49</v>
      </c>
      <c r="G322" t="s">
        <v>444</v>
      </c>
      <c r="H322" t="str">
        <f>VLOOKUP(Tableau65[[#This Row],[Utilisateur]],Tableau3[[Prenoms (ID)]:[Localisation]],2,FALSE)</f>
        <v>Audit CPA</v>
      </c>
      <c r="I322" t="str">
        <f>VLOOKUP(Tableau65[[#This Row],[Utilisateur]],Tableau3[[Prenoms (ID)]:[Localisation]],3,FALSE)</f>
        <v>AUDIT-CPA</v>
      </c>
      <c r="J322" t="str">
        <f>VLOOKUP(Tableau65[[#This Row],[Utilisateur]],Tableau3[[Prenoms (ID)]:[CABINET]],4,FALSE)</f>
        <v>CPA</v>
      </c>
    </row>
    <row r="323" spans="1:10" x14ac:dyDescent="0.25">
      <c r="A323" s="2">
        <v>45544</v>
      </c>
      <c r="B323" t="s">
        <v>25</v>
      </c>
      <c r="C323" s="6">
        <v>1</v>
      </c>
      <c r="D323" t="s">
        <v>49</v>
      </c>
      <c r="G323" t="s">
        <v>527</v>
      </c>
      <c r="H323" t="str">
        <f>VLOOKUP(Tableau65[[#This Row],[Utilisateur]],Tableau3[[Prenoms (ID)]:[Localisation]],2,FALSE)</f>
        <v>Accefi</v>
      </c>
      <c r="I323" t="str">
        <f>VLOOKUP(Tableau65[[#This Row],[Utilisateur]],Tableau3[[Prenoms (ID)]:[Localisation]],3,FALSE)</f>
        <v>ACCEFI</v>
      </c>
      <c r="J323" t="str">
        <f>VLOOKUP(Tableau65[[#This Row],[Utilisateur]],Tableau3[[Prenoms (ID)]:[CABINET]],4,FALSE)</f>
        <v>CPA</v>
      </c>
    </row>
    <row r="324" spans="1:10" x14ac:dyDescent="0.25">
      <c r="A324" s="2">
        <v>45544</v>
      </c>
      <c r="B324" t="s">
        <v>58</v>
      </c>
      <c r="C324" s="6">
        <v>1</v>
      </c>
      <c r="D324" t="s">
        <v>49</v>
      </c>
      <c r="G324" t="s">
        <v>536</v>
      </c>
      <c r="H324" t="str">
        <f>VLOOKUP(Tableau65[[#This Row],[Utilisateur]],Tableau3[[Prenoms (ID)]:[Localisation]],2,FALSE)</f>
        <v>Accefi</v>
      </c>
      <c r="I324" t="str">
        <f>VLOOKUP(Tableau65[[#This Row],[Utilisateur]],Tableau3[[Prenoms (ID)]:[Localisation]],3,FALSE)</f>
        <v>ACCEFI</v>
      </c>
      <c r="J324" t="str">
        <f>VLOOKUP(Tableau65[[#This Row],[Utilisateur]],Tableau3[[Prenoms (ID)]:[CABINET]],4,FALSE)</f>
        <v>CPA</v>
      </c>
    </row>
    <row r="325" spans="1:10" x14ac:dyDescent="0.25">
      <c r="A325" s="2">
        <v>45544</v>
      </c>
      <c r="B325" t="s">
        <v>34</v>
      </c>
      <c r="C325" s="6">
        <v>1</v>
      </c>
      <c r="D325" t="s">
        <v>49</v>
      </c>
      <c r="G325" t="s">
        <v>538</v>
      </c>
      <c r="H325" t="str">
        <f>VLOOKUP(Tableau65[[#This Row],[Utilisateur]],Tableau3[[Prenoms (ID)]:[Localisation]],2,FALSE)</f>
        <v>Juridique</v>
      </c>
      <c r="I325" t="str">
        <f>VLOOKUP(Tableau65[[#This Row],[Utilisateur]],Tableau3[[Prenoms (ID)]:[Localisation]],3,FALSE)</f>
        <v>BNI2</v>
      </c>
      <c r="J325">
        <f>VLOOKUP(Tableau65[[#This Row],[Utilisateur]],Tableau3[[Prenoms (ID)]:[CABINET]],4,FALSE)</f>
        <v>0</v>
      </c>
    </row>
    <row r="326" spans="1:10" x14ac:dyDescent="0.25">
      <c r="A326" s="2">
        <v>45544</v>
      </c>
      <c r="B326" t="s">
        <v>34</v>
      </c>
      <c r="C326" s="6">
        <v>1</v>
      </c>
      <c r="D326" t="s">
        <v>49</v>
      </c>
      <c r="G326" t="s">
        <v>539</v>
      </c>
      <c r="H326" t="str">
        <f>VLOOKUP(Tableau65[[#This Row],[Utilisateur]],Tableau3[[Prenoms (ID)]:[Localisation]],2,FALSE)</f>
        <v>Optique / Sata</v>
      </c>
      <c r="I326" t="str">
        <f>VLOOKUP(Tableau65[[#This Row],[Utilisateur]],Tableau3[[Prenoms (ID)]:[Localisation]],3,FALSE)</f>
        <v>BNI1</v>
      </c>
      <c r="J326">
        <f>VLOOKUP(Tableau65[[#This Row],[Utilisateur]],Tableau3[[Prenoms (ID)]:[CABINET]],4,FALSE)</f>
        <v>0</v>
      </c>
    </row>
    <row r="327" spans="1:10" x14ac:dyDescent="0.25">
      <c r="A327" s="2">
        <v>45544</v>
      </c>
      <c r="B327" t="s">
        <v>34</v>
      </c>
      <c r="C327" s="6">
        <v>1</v>
      </c>
      <c r="D327" t="s">
        <v>49</v>
      </c>
      <c r="G327" t="s">
        <v>486</v>
      </c>
      <c r="H327" t="str">
        <f>VLOOKUP(Tableau65[[#This Row],[Utilisateur]],Tableau3[[Prenoms (ID)]:[Localisation]],2,FALSE)</f>
        <v>Cecca etoile</v>
      </c>
      <c r="I327" t="str">
        <f>VLOOKUP(Tableau65[[#This Row],[Utilisateur]],Tableau3[[Prenoms (ID)]:[Localisation]],3,FALSE)</f>
        <v>BNI1</v>
      </c>
      <c r="J327">
        <f>VLOOKUP(Tableau65[[#This Row],[Utilisateur]],Tableau3[[Prenoms (ID)]:[CABINET]],4,FALSE)</f>
        <v>0</v>
      </c>
    </row>
    <row r="328" spans="1:10" x14ac:dyDescent="0.25">
      <c r="A328" s="2">
        <v>45544</v>
      </c>
      <c r="B328" t="s">
        <v>96</v>
      </c>
      <c r="C328" s="6">
        <v>1</v>
      </c>
      <c r="D328" t="s">
        <v>49</v>
      </c>
      <c r="G328" t="s">
        <v>97</v>
      </c>
      <c r="H328" t="str">
        <f>VLOOKUP(Tableau65[[#This Row],[Utilisateur]],Tableau3[[Prenoms (ID)]:[Localisation]],2,FALSE)</f>
        <v>Info/Dev</v>
      </c>
      <c r="I328" t="str">
        <f>VLOOKUP(Tableau65[[#This Row],[Utilisateur]],Tableau3[[Prenoms (ID)]:[Localisation]],3,FALSE)</f>
        <v>Informatique</v>
      </c>
      <c r="J328">
        <f>VLOOKUP(Tableau65[[#This Row],[Utilisateur]],Tableau3[[Prenoms (ID)]:[CABINET]],4,FALSE)</f>
        <v>0</v>
      </c>
    </row>
    <row r="329" spans="1:10" x14ac:dyDescent="0.25">
      <c r="A329" s="2">
        <v>45544</v>
      </c>
      <c r="B329" t="s">
        <v>99</v>
      </c>
      <c r="C329" s="6">
        <v>1</v>
      </c>
      <c r="D329" t="s">
        <v>49</v>
      </c>
      <c r="G329" t="s">
        <v>100</v>
      </c>
      <c r="H329" t="str">
        <f>VLOOKUP(Tableau65[[#This Row],[Utilisateur]],Tableau3[[Prenoms (ID)]:[Localisation]],2,FALSE)</f>
        <v>Optique / Sata</v>
      </c>
      <c r="I329" t="str">
        <f>VLOOKUP(Tableau65[[#This Row],[Utilisateur]],Tableau3[[Prenoms (ID)]:[Localisation]],3,FALSE)</f>
        <v>BNI1</v>
      </c>
      <c r="J329">
        <f>VLOOKUP(Tableau65[[#This Row],[Utilisateur]],Tableau3[[Prenoms (ID)]:[CABINET]],4,FALSE)</f>
        <v>0</v>
      </c>
    </row>
    <row r="330" spans="1:10" x14ac:dyDescent="0.25">
      <c r="A330" s="2">
        <v>45544</v>
      </c>
      <c r="B330" t="s">
        <v>30</v>
      </c>
      <c r="C330" s="6">
        <v>1</v>
      </c>
      <c r="D330" t="s">
        <v>49</v>
      </c>
      <c r="G330" t="s">
        <v>102</v>
      </c>
      <c r="H330" t="str">
        <f>VLOOKUP(Tableau65[[#This Row],[Utilisateur]],Tableau3[[Prenoms (ID)]:[Localisation]],2,FALSE)</f>
        <v>Impulsa</v>
      </c>
      <c r="I330" t="str">
        <f>VLOOKUP(Tableau65[[#This Row],[Utilisateur]],Tableau3[[Prenoms (ID)]:[Localisation]],3,FALSE)</f>
        <v>BNI2</v>
      </c>
      <c r="J330">
        <f>VLOOKUP(Tableau65[[#This Row],[Utilisateur]],Tableau3[[Prenoms (ID)]:[CABINET]],4,FALSE)</f>
        <v>0</v>
      </c>
    </row>
    <row r="331" spans="1:10" x14ac:dyDescent="0.25">
      <c r="A331" s="2">
        <v>45544</v>
      </c>
      <c r="B331" t="s">
        <v>34</v>
      </c>
      <c r="C331" s="6">
        <v>1</v>
      </c>
      <c r="D331" t="s">
        <v>49</v>
      </c>
      <c r="G331" t="s">
        <v>325</v>
      </c>
      <c r="H331" t="str">
        <f>VLOOKUP(Tableau65[[#This Row],[Utilisateur]],Tableau3[[Prenoms (ID)]:[Localisation]],2,FALSE)</f>
        <v>Accefi</v>
      </c>
      <c r="I331" t="str">
        <f>VLOOKUP(Tableau65[[#This Row],[Utilisateur]],Tableau3[[Prenoms (ID)]:[Localisation]],3,FALSE)</f>
        <v>ACCEFI</v>
      </c>
      <c r="J331" t="str">
        <f>VLOOKUP(Tableau65[[#This Row],[Utilisateur]],Tableau3[[Prenoms (ID)]:[CABINET]],4,FALSE)</f>
        <v>CPA</v>
      </c>
    </row>
    <row r="332" spans="1:10" x14ac:dyDescent="0.25">
      <c r="A332" s="2">
        <v>45544</v>
      </c>
      <c r="B332" t="s">
        <v>34</v>
      </c>
      <c r="C332" s="6">
        <v>1</v>
      </c>
      <c r="D332" t="s">
        <v>49</v>
      </c>
      <c r="G332" t="s">
        <v>540</v>
      </c>
      <c r="H332" t="e">
        <f>VLOOKUP(Tableau65[[#This Row],[Utilisateur]],Tableau3[[Prenoms (ID)]:[Localisation]],2,FALSE)</f>
        <v>#N/A</v>
      </c>
      <c r="I332" t="e">
        <f>VLOOKUP(Tableau65[[#This Row],[Utilisateur]],Tableau3[[Prenoms (ID)]:[Localisation]],3,FALSE)</f>
        <v>#N/A</v>
      </c>
      <c r="J332" t="e">
        <f>VLOOKUP(Tableau65[[#This Row],[Utilisateur]],Tableau3[[Prenoms (ID)]:[CABINET]],4,FALSE)</f>
        <v>#N/A</v>
      </c>
    </row>
    <row r="333" spans="1:10" x14ac:dyDescent="0.25">
      <c r="A333" s="2">
        <v>45544</v>
      </c>
      <c r="B333" t="s">
        <v>34</v>
      </c>
      <c r="C333" s="6">
        <v>1</v>
      </c>
      <c r="D333" t="s">
        <v>49</v>
      </c>
      <c r="G333" t="s">
        <v>541</v>
      </c>
      <c r="H333" t="str">
        <f>VLOOKUP(Tableau65[[#This Row],[Utilisateur]],Tableau3[[Prenoms (ID)]:[Localisation]],2,FALSE)</f>
        <v>Audit CPA</v>
      </c>
      <c r="I333" t="str">
        <f>VLOOKUP(Tableau65[[#This Row],[Utilisateur]],Tableau3[[Prenoms (ID)]:[Localisation]],3,FALSE)</f>
        <v>MADAFIT</v>
      </c>
      <c r="J333" t="str">
        <f>VLOOKUP(Tableau65[[#This Row],[Utilisateur]],Tableau3[[Prenoms (ID)]:[CABINET]],4,FALSE)</f>
        <v>CPA</v>
      </c>
    </row>
    <row r="334" spans="1:10" x14ac:dyDescent="0.25">
      <c r="A334" s="2">
        <v>45544</v>
      </c>
      <c r="B334" t="s">
        <v>34</v>
      </c>
      <c r="C334" s="6">
        <v>1</v>
      </c>
      <c r="D334" t="s">
        <v>49</v>
      </c>
      <c r="G334" t="s">
        <v>429</v>
      </c>
      <c r="H334" t="str">
        <f>VLOOKUP(Tableau65[[#This Row],[Utilisateur]],Tableau3[[Prenoms (ID)]:[Localisation]],2,FALSE)</f>
        <v>Audit CPA</v>
      </c>
      <c r="I334" t="str">
        <f>VLOOKUP(Tableau65[[#This Row],[Utilisateur]],Tableau3[[Prenoms (ID)]:[Localisation]],3,FALSE)</f>
        <v>MADAFIT</v>
      </c>
      <c r="J334" t="str">
        <f>VLOOKUP(Tableau65[[#This Row],[Utilisateur]],Tableau3[[Prenoms (ID)]:[CABINET]],4,FALSE)</f>
        <v>CPA</v>
      </c>
    </row>
    <row r="335" spans="1:10" x14ac:dyDescent="0.25">
      <c r="A335" s="2">
        <v>45544</v>
      </c>
      <c r="B335" t="s">
        <v>96</v>
      </c>
      <c r="C335" s="6">
        <v>1</v>
      </c>
      <c r="D335" t="s">
        <v>49</v>
      </c>
      <c r="G335" t="s">
        <v>68</v>
      </c>
      <c r="H335" t="str">
        <f>VLOOKUP(Tableau65[[#This Row],[Utilisateur]],Tableau3[[Prenoms (ID)]:[Localisation]],2,FALSE)</f>
        <v>Administration</v>
      </c>
      <c r="I335">
        <f>VLOOKUP(Tableau65[[#This Row],[Utilisateur]],Tableau3[[Prenoms (ID)]:[Localisation]],3,FALSE)</f>
        <v>0</v>
      </c>
      <c r="J335">
        <f>VLOOKUP(Tableau65[[#This Row],[Utilisateur]],Tableau3[[Prenoms (ID)]:[CABINET]],4,FALSE)</f>
        <v>0</v>
      </c>
    </row>
    <row r="336" spans="1:10" x14ac:dyDescent="0.25">
      <c r="A336" s="2">
        <v>45546</v>
      </c>
      <c r="B336" t="s">
        <v>52</v>
      </c>
      <c r="C336" s="57">
        <v>1</v>
      </c>
      <c r="D336" t="s">
        <v>49</v>
      </c>
      <c r="G336" t="s">
        <v>542</v>
      </c>
      <c r="H336" t="str">
        <f>VLOOKUP(Tableau65[[#This Row],[Utilisateur]],Tableau3[[Prenoms (ID)]:[Localisation]],2,FALSE)</f>
        <v>Audit CPA</v>
      </c>
      <c r="I336" t="str">
        <f>VLOOKUP(Tableau65[[#This Row],[Utilisateur]],Tableau3[[Prenoms (ID)]:[Localisation]],3,FALSE)</f>
        <v>AUDIT-CPA</v>
      </c>
      <c r="J336" t="str">
        <f>VLOOKUP(Tableau65[[#This Row],[Utilisateur]],Tableau3[[Prenoms (ID)]:[CABINET]],4,FALSE)</f>
        <v>CPA</v>
      </c>
    </row>
    <row r="337" spans="1:10" x14ac:dyDescent="0.25">
      <c r="A337" s="2">
        <v>45546</v>
      </c>
      <c r="B337" t="s">
        <v>52</v>
      </c>
      <c r="C337" s="57">
        <v>1</v>
      </c>
      <c r="D337" t="s">
        <v>49</v>
      </c>
      <c r="G337" t="s">
        <v>539</v>
      </c>
      <c r="H337" t="str">
        <f>VLOOKUP(Tableau65[[#This Row],[Utilisateur]],Tableau3[[Prenoms (ID)]:[Localisation]],2,FALSE)</f>
        <v>Optique / Sata</v>
      </c>
      <c r="I337" t="str">
        <f>VLOOKUP(Tableau65[[#This Row],[Utilisateur]],Tableau3[[Prenoms (ID)]:[Localisation]],3,FALSE)</f>
        <v>BNI1</v>
      </c>
      <c r="J337">
        <f>VLOOKUP(Tableau65[[#This Row],[Utilisateur]],Tableau3[[Prenoms (ID)]:[CABINET]],4,FALSE)</f>
        <v>0</v>
      </c>
    </row>
    <row r="338" spans="1:10" x14ac:dyDescent="0.25">
      <c r="A338" s="2">
        <v>45546</v>
      </c>
      <c r="B338" t="s">
        <v>54</v>
      </c>
      <c r="C338" s="6">
        <v>1</v>
      </c>
      <c r="D338" t="s">
        <v>49</v>
      </c>
      <c r="G338" t="s">
        <v>543</v>
      </c>
      <c r="H338" t="str">
        <f>VLOOKUP(Tableau65[[#This Row],[Utilisateur]],Tableau3[[Prenoms (ID)]:[Localisation]],2,FALSE)</f>
        <v>RECCI / Njato Be</v>
      </c>
      <c r="I338" t="str">
        <f>VLOOKUP(Tableau65[[#This Row],[Utilisateur]],Tableau3[[Prenoms (ID)]:[Localisation]],3,FALSE)</f>
        <v>BNI2</v>
      </c>
      <c r="J338">
        <f>VLOOKUP(Tableau65[[#This Row],[Utilisateur]],Tableau3[[Prenoms (ID)]:[CABINET]],4,FALSE)</f>
        <v>0</v>
      </c>
    </row>
    <row r="339" spans="1:10" x14ac:dyDescent="0.25">
      <c r="A339" s="2">
        <v>45546</v>
      </c>
      <c r="B339" t="s">
        <v>52</v>
      </c>
      <c r="C339" s="57">
        <v>1</v>
      </c>
      <c r="D339" t="s">
        <v>49</v>
      </c>
      <c r="G339" t="s">
        <v>362</v>
      </c>
      <c r="H339" t="str">
        <f>VLOOKUP(Tableau65[[#This Row],[Utilisateur]],Tableau3[[Prenoms (ID)]:[Localisation]],2,FALSE)</f>
        <v>Optique / Mirado</v>
      </c>
      <c r="I339" t="str">
        <f>VLOOKUP(Tableau65[[#This Row],[Utilisateur]],Tableau3[[Prenoms (ID)]:[Localisation]],3,FALSE)</f>
        <v>BNI1</v>
      </c>
      <c r="J339">
        <f>VLOOKUP(Tableau65[[#This Row],[Utilisateur]],Tableau3[[Prenoms (ID)]:[CABINET]],4,FALSE)</f>
        <v>0</v>
      </c>
    </row>
    <row r="340" spans="1:10" x14ac:dyDescent="0.25">
      <c r="A340" s="2">
        <v>45546</v>
      </c>
      <c r="B340" t="s">
        <v>52</v>
      </c>
      <c r="C340" s="57">
        <v>1</v>
      </c>
      <c r="D340" t="s">
        <v>49</v>
      </c>
      <c r="G340" t="s">
        <v>445</v>
      </c>
      <c r="H340" t="str">
        <f>VLOOKUP(Tableau65[[#This Row],[Utilisateur]],Tableau3[[Prenoms (ID)]:[Localisation]],2,FALSE)</f>
        <v>Optique / Sata</v>
      </c>
      <c r="I340" t="str">
        <f>VLOOKUP(Tableau65[[#This Row],[Utilisateur]],Tableau3[[Prenoms (ID)]:[Localisation]],3,FALSE)</f>
        <v>BNI1</v>
      </c>
      <c r="J340">
        <f>VLOOKUP(Tableau65[[#This Row],[Utilisateur]],Tableau3[[Prenoms (ID)]:[CABINET]],4,FALSE)</f>
        <v>0</v>
      </c>
    </row>
    <row r="341" spans="1:10" x14ac:dyDescent="0.25">
      <c r="A341" s="2">
        <v>45548</v>
      </c>
      <c r="B341" t="s">
        <v>60</v>
      </c>
      <c r="C341" s="6">
        <v>1</v>
      </c>
      <c r="D341" t="s">
        <v>49</v>
      </c>
      <c r="G341" t="s">
        <v>403</v>
      </c>
      <c r="H341" t="str">
        <f>VLOOKUP(Tableau65[[#This Row],[Utilisateur]],Tableau3[[Prenoms (ID)]:[Localisation]],2,FALSE)</f>
        <v>Accefi</v>
      </c>
      <c r="I341" t="str">
        <f>VLOOKUP(Tableau65[[#This Row],[Utilisateur]],Tableau3[[Prenoms (ID)]:[Localisation]],3,FALSE)</f>
        <v>ACCEFI</v>
      </c>
      <c r="J341" t="str">
        <f>VLOOKUP(Tableau65[[#This Row],[Utilisateur]],Tableau3[[Prenoms (ID)]:[CABINET]],4,FALSE)</f>
        <v>CPA</v>
      </c>
    </row>
    <row r="342" spans="1:10" x14ac:dyDescent="0.25">
      <c r="A342" s="2">
        <v>45552</v>
      </c>
      <c r="B342" t="s">
        <v>52</v>
      </c>
      <c r="C342" s="57">
        <v>1</v>
      </c>
      <c r="D342" t="s">
        <v>49</v>
      </c>
      <c r="G342" t="s">
        <v>544</v>
      </c>
      <c r="H342" t="str">
        <f>VLOOKUP(Tableau65[[#This Row],[Utilisateur]],Tableau3[[Prenoms (ID)]:[Localisation]],2,FALSE)</f>
        <v>Exaulia</v>
      </c>
      <c r="I342" t="str">
        <f>VLOOKUP(Tableau65[[#This Row],[Utilisateur]],Tableau3[[Prenoms (ID)]:[Localisation]],3,FALSE)</f>
        <v>BNI1</v>
      </c>
      <c r="J342">
        <f>VLOOKUP(Tableau65[[#This Row],[Utilisateur]],Tableau3[[Prenoms (ID)]:[CABINET]],4,FALSE)</f>
        <v>0</v>
      </c>
    </row>
    <row r="343" spans="1:10" x14ac:dyDescent="0.25">
      <c r="A343" s="2">
        <v>45553</v>
      </c>
      <c r="B343" t="s">
        <v>139</v>
      </c>
      <c r="C343" s="6">
        <v>1</v>
      </c>
      <c r="D343" t="s">
        <v>49</v>
      </c>
      <c r="G343" t="s">
        <v>354</v>
      </c>
      <c r="H343" t="str">
        <f>VLOOKUP(Tableau65[[#This Row],[Utilisateur]],Tableau3[[Prenoms (ID)]:[Localisation]],2,FALSE)</f>
        <v>RECCI / Lalaina</v>
      </c>
      <c r="I343" t="str">
        <f>VLOOKUP(Tableau65[[#This Row],[Utilisateur]],Tableau3[[Prenoms (ID)]:[Localisation]],3,FALSE)</f>
        <v>BNI2</v>
      </c>
      <c r="J343">
        <f>VLOOKUP(Tableau65[[#This Row],[Utilisateur]],Tableau3[[Prenoms (ID)]:[CABINET]],4,FALSE)</f>
        <v>0</v>
      </c>
    </row>
    <row r="344" spans="1:10" x14ac:dyDescent="0.25">
      <c r="A344" s="2">
        <v>45490</v>
      </c>
      <c r="B344" t="s">
        <v>24</v>
      </c>
      <c r="C344" s="6">
        <v>1</v>
      </c>
      <c r="D344" t="s">
        <v>49</v>
      </c>
      <c r="G344" t="s">
        <v>545</v>
      </c>
      <c r="H344" t="str">
        <f>VLOOKUP(Tableau65[[#This Row],[Utilisateur]],Tableau3[[Prenoms (ID)]:[Localisation]],2,FALSE)</f>
        <v>-</v>
      </c>
      <c r="I344" t="str">
        <f>VLOOKUP(Tableau65[[#This Row],[Utilisateur]],Tableau3[[Prenoms (ID)]:[Localisation]],3,FALSE)</f>
        <v>BIRA</v>
      </c>
      <c r="J344" t="str">
        <f>VLOOKUP(Tableau65[[#This Row],[Utilisateur]],Tableau3[[Prenoms (ID)]:[CABINET]],4,FALSE)</f>
        <v>CPA</v>
      </c>
    </row>
    <row r="345" spans="1:10" x14ac:dyDescent="0.25">
      <c r="A345" s="2">
        <v>45554</v>
      </c>
      <c r="B345" t="s">
        <v>58</v>
      </c>
      <c r="C345" s="6">
        <v>1</v>
      </c>
      <c r="D345" t="s">
        <v>49</v>
      </c>
      <c r="G345" t="s">
        <v>414</v>
      </c>
      <c r="H345" t="str">
        <f>VLOOKUP(Tableau65[[#This Row],[Utilisateur]],Tableau3[[Prenoms (ID)]:[Localisation]],2,FALSE)</f>
        <v>Optique / Sata</v>
      </c>
      <c r="I345" t="str">
        <f>VLOOKUP(Tableau65[[#This Row],[Utilisateur]],Tableau3[[Prenoms (ID)]:[Localisation]],3,FALSE)</f>
        <v>BNI1</v>
      </c>
      <c r="J345" t="str">
        <f>VLOOKUP(Tableau65[[#This Row],[Utilisateur]],Tableau3[[Prenoms (ID)]:[CABINET]],4,FALSE)</f>
        <v>RFC</v>
      </c>
    </row>
    <row r="346" spans="1:10" x14ac:dyDescent="0.25">
      <c r="A346" s="2">
        <v>45554</v>
      </c>
      <c r="B346" t="s">
        <v>52</v>
      </c>
      <c r="C346" s="57">
        <v>1</v>
      </c>
      <c r="D346" t="s">
        <v>49</v>
      </c>
      <c r="G346" t="s">
        <v>546</v>
      </c>
      <c r="H346" t="str">
        <f>VLOOKUP(Tableau65[[#This Row],[Utilisateur]],Tableau3[[Prenoms (ID)]:[Localisation]],2,FALSE)</f>
        <v>Audit CPA</v>
      </c>
      <c r="I346" t="str">
        <f>VLOOKUP(Tableau65[[#This Row],[Utilisateur]],Tableau3[[Prenoms (ID)]:[Localisation]],3,FALSE)</f>
        <v>AUDIT-CPA</v>
      </c>
      <c r="J346" t="str">
        <f>VLOOKUP(Tableau65[[#This Row],[Utilisateur]],Tableau3[[Prenoms (ID)]:[CABINET]],4,FALSE)</f>
        <v>CPA</v>
      </c>
    </row>
    <row r="347" spans="1:10" x14ac:dyDescent="0.25">
      <c r="A347" s="2">
        <v>45554</v>
      </c>
      <c r="B347" t="s">
        <v>52</v>
      </c>
      <c r="C347" s="57">
        <v>1</v>
      </c>
      <c r="D347" t="s">
        <v>49</v>
      </c>
      <c r="G347" t="s">
        <v>343</v>
      </c>
      <c r="H347" t="str">
        <f>VLOOKUP(Tableau65[[#This Row],[Utilisateur]],Tableau3[[Prenoms (ID)]:[Localisation]],2,FALSE)</f>
        <v>Optique / Sata</v>
      </c>
      <c r="I347" t="str">
        <f>VLOOKUP(Tableau65[[#This Row],[Utilisateur]],Tableau3[[Prenoms (ID)]:[Localisation]],3,FALSE)</f>
        <v>BNI1</v>
      </c>
      <c r="J347" t="str">
        <f>VLOOKUP(Tableau65[[#This Row],[Utilisateur]],Tableau3[[Prenoms (ID)]:[CABINET]],4,FALSE)</f>
        <v>RFC</v>
      </c>
    </row>
    <row r="348" spans="1:10" x14ac:dyDescent="0.25">
      <c r="A348" s="2">
        <v>45555</v>
      </c>
      <c r="B348" t="s">
        <v>52</v>
      </c>
      <c r="C348" s="57">
        <v>1</v>
      </c>
      <c r="D348" t="s">
        <v>49</v>
      </c>
      <c r="G348" t="s">
        <v>388</v>
      </c>
      <c r="H348" s="35" t="str">
        <f>VLOOKUP(Tableau65[[#This Row],[Utilisateur]],Tableau3[[Prenoms (ID)]:[Localisation]],2,FALSE)</f>
        <v>Audit CPA</v>
      </c>
      <c r="I348" s="35" t="str">
        <f>VLOOKUP(Tableau65[[#This Row],[Utilisateur]],Tableau3[[Prenoms (ID)]:[Localisation]],3,FALSE)</f>
        <v>BIRA</v>
      </c>
      <c r="J348" s="35" t="str">
        <f>VLOOKUP(Tableau65[[#This Row],[Utilisateur]],Tableau3[[Prenoms (ID)]:[CABINET]],4,FALSE)</f>
        <v>CPA</v>
      </c>
    </row>
    <row r="349" spans="1:10" x14ac:dyDescent="0.25">
      <c r="A349" s="2">
        <v>45558</v>
      </c>
      <c r="B349" t="s">
        <v>52</v>
      </c>
      <c r="C349" s="57">
        <v>1</v>
      </c>
      <c r="D349" t="s">
        <v>49</v>
      </c>
      <c r="G349" t="s">
        <v>505</v>
      </c>
      <c r="H349" t="str">
        <f>VLOOKUP(Tableau65[[#This Row],[Utilisateur]],Tableau3[[Prenoms (ID)]:[Localisation]],2,FALSE)</f>
        <v>Cecca rueil</v>
      </c>
      <c r="I349" t="str">
        <f>VLOOKUP(Tableau65[[#This Row],[Utilisateur]],Tableau3[[Prenoms (ID)]:[Localisation]],3,FALSE)</f>
        <v>BNI1</v>
      </c>
      <c r="J349">
        <f>VLOOKUP(Tableau65[[#This Row],[Utilisateur]],Tableau3[[Prenoms (ID)]:[CABINET]],4,FALSE)</f>
        <v>0</v>
      </c>
    </row>
    <row r="350" spans="1:10" x14ac:dyDescent="0.25">
      <c r="A350" s="2">
        <v>45558</v>
      </c>
      <c r="B350" t="s">
        <v>54</v>
      </c>
      <c r="C350" s="6">
        <v>1</v>
      </c>
      <c r="D350" t="s">
        <v>49</v>
      </c>
      <c r="G350" t="s">
        <v>457</v>
      </c>
      <c r="H350" t="str">
        <f>VLOOKUP(Tableau65[[#This Row],[Utilisateur]],Tableau3[[Prenoms (ID)]:[Localisation]],2,FALSE)</f>
        <v>Audit CPA</v>
      </c>
      <c r="I350" t="str">
        <f>VLOOKUP(Tableau65[[#This Row],[Utilisateur]],Tableau3[[Prenoms (ID)]:[Localisation]],3,FALSE)</f>
        <v>AUDIT-CPA</v>
      </c>
      <c r="J350" t="str">
        <f>VLOOKUP(Tableau65[[#This Row],[Utilisateur]],Tableau3[[Prenoms (ID)]:[CABINET]],4,FALSE)</f>
        <v>CPA</v>
      </c>
    </row>
    <row r="351" spans="1:10" x14ac:dyDescent="0.25">
      <c r="A351" s="2">
        <v>45558</v>
      </c>
      <c r="B351" t="s">
        <v>52</v>
      </c>
      <c r="C351" s="57">
        <v>1</v>
      </c>
      <c r="D351" t="s">
        <v>49</v>
      </c>
      <c r="G351" t="s">
        <v>474</v>
      </c>
      <c r="H351" s="35" t="str">
        <f>VLOOKUP(Tableau65[[#This Row],[Utilisateur]],Tableau3[[Prenoms (ID)]:[Localisation]],2,FALSE)</f>
        <v>Audit CPA</v>
      </c>
      <c r="I351" s="35" t="str">
        <f>VLOOKUP(Tableau65[[#This Row],[Utilisateur]],Tableau3[[Prenoms (ID)]:[Localisation]],3,FALSE)</f>
        <v>AUDIT-CPA</v>
      </c>
      <c r="J351" s="35" t="str">
        <f>VLOOKUP(Tableau65[[#This Row],[Utilisateur]],Tableau3[[Prenoms (ID)]:[CABINET]],4,FALSE)</f>
        <v>CPA</v>
      </c>
    </row>
    <row r="352" spans="1:10" x14ac:dyDescent="0.25">
      <c r="A352" s="2">
        <v>45558</v>
      </c>
      <c r="B352" t="s">
        <v>52</v>
      </c>
      <c r="C352" s="57">
        <v>1</v>
      </c>
      <c r="D352" t="s">
        <v>49</v>
      </c>
      <c r="G352" t="s">
        <v>486</v>
      </c>
      <c r="H352" s="35" t="str">
        <f>VLOOKUP(Tableau65[[#This Row],[Utilisateur]],Tableau3[[Prenoms (ID)]:[Localisation]],2,FALSE)</f>
        <v>Cecca etoile</v>
      </c>
      <c r="I352" s="35" t="str">
        <f>VLOOKUP(Tableau65[[#This Row],[Utilisateur]],Tableau3[[Prenoms (ID)]:[Localisation]],3,FALSE)</f>
        <v>BNI1</v>
      </c>
      <c r="J352" s="35">
        <f>VLOOKUP(Tableau65[[#This Row],[Utilisateur]],Tableau3[[Prenoms (ID)]:[CABINET]],4,FALSE)</f>
        <v>0</v>
      </c>
    </row>
    <row r="353" spans="1:10" x14ac:dyDescent="0.25">
      <c r="A353" s="2">
        <v>45558</v>
      </c>
      <c r="B353" t="s">
        <v>52</v>
      </c>
      <c r="C353" s="57">
        <v>1</v>
      </c>
      <c r="D353" t="s">
        <v>49</v>
      </c>
      <c r="G353" t="s">
        <v>547</v>
      </c>
      <c r="H353" t="str">
        <f>VLOOKUP(Tableau65[[#This Row],[Utilisateur]],Tableau3[[Prenoms (ID)]:[Localisation]],2,FALSE)</f>
        <v>Accefi</v>
      </c>
      <c r="I353" t="str">
        <f>VLOOKUP(Tableau65[[#This Row],[Utilisateur]],Tableau3[[Prenoms (ID)]:[Localisation]],3,FALSE)</f>
        <v>ACCEFI</v>
      </c>
      <c r="J353">
        <f>VLOOKUP(Tableau65[[#This Row],[Utilisateur]],Tableau3[[Prenoms (ID)]:[CABINET]],4,FALSE)</f>
        <v>0</v>
      </c>
    </row>
    <row r="354" spans="1:10" x14ac:dyDescent="0.25">
      <c r="A354" s="2">
        <v>45558</v>
      </c>
      <c r="B354" t="s">
        <v>52</v>
      </c>
      <c r="C354" s="57">
        <v>1</v>
      </c>
      <c r="D354" t="s">
        <v>49</v>
      </c>
      <c r="G354" t="s">
        <v>548</v>
      </c>
      <c r="H354" t="str">
        <f>VLOOKUP(Tableau65[[#This Row],[Utilisateur]],Tableau3[[Prenoms (ID)]:[Localisation]],2,FALSE)</f>
        <v>Cecca rueil</v>
      </c>
      <c r="I354" t="str">
        <f>VLOOKUP(Tableau65[[#This Row],[Utilisateur]],Tableau3[[Prenoms (ID)]:[Localisation]],3,FALSE)</f>
        <v>BNI1</v>
      </c>
      <c r="J354">
        <f>VLOOKUP(Tableau65[[#This Row],[Utilisateur]],Tableau3[[Prenoms (ID)]:[CABINET]],4,FALSE)</f>
        <v>0</v>
      </c>
    </row>
    <row r="355" spans="1:10" x14ac:dyDescent="0.25">
      <c r="A355" s="2">
        <v>45558</v>
      </c>
      <c r="B355" t="s">
        <v>52</v>
      </c>
      <c r="C355" s="57">
        <v>1</v>
      </c>
      <c r="D355" t="s">
        <v>49</v>
      </c>
      <c r="G355" t="s">
        <v>549</v>
      </c>
      <c r="H355" t="str">
        <f>VLOOKUP(Tableau65[[#This Row],[Utilisateur]],Tableau3[[Prenoms (ID)]:[Localisation]],2,FALSE)</f>
        <v>RECCI SAV</v>
      </c>
      <c r="I355" t="str">
        <f>VLOOKUP(Tableau65[[#This Row],[Utilisateur]],Tableau3[[Prenoms (ID)]:[Localisation]],3,FALSE)</f>
        <v>BNI2</v>
      </c>
      <c r="J355">
        <f>VLOOKUP(Tableau65[[#This Row],[Utilisateur]],Tableau3[[Prenoms (ID)]:[CABINET]],4,FALSE)</f>
        <v>0</v>
      </c>
    </row>
    <row r="356" spans="1:10" x14ac:dyDescent="0.25">
      <c r="A356" s="2">
        <v>45559</v>
      </c>
      <c r="B356" t="s">
        <v>52</v>
      </c>
      <c r="C356" s="57">
        <v>1</v>
      </c>
      <c r="D356" t="s">
        <v>49</v>
      </c>
      <c r="G356" t="s">
        <v>466</v>
      </c>
      <c r="H356" t="str">
        <f>VLOOKUP(Tableau65[[#This Row],[Utilisateur]],Tableau3[[Prenoms (ID)]:[Localisation]],2,FALSE)</f>
        <v>Optique / Mirado</v>
      </c>
      <c r="I356" t="str">
        <f>VLOOKUP(Tableau65[[#This Row],[Utilisateur]],Tableau3[[Prenoms (ID)]:[Localisation]],3,FALSE)</f>
        <v>BNI1</v>
      </c>
      <c r="J356">
        <f>VLOOKUP(Tableau65[[#This Row],[Utilisateur]],Tableau3[[Prenoms (ID)]:[CABINET]],4,FALSE)</f>
        <v>0</v>
      </c>
    </row>
    <row r="357" spans="1:10" x14ac:dyDescent="0.25">
      <c r="A357" s="2">
        <v>45559</v>
      </c>
      <c r="B357" t="s">
        <v>60</v>
      </c>
      <c r="C357" s="6">
        <v>1</v>
      </c>
      <c r="D357" t="s">
        <v>49</v>
      </c>
      <c r="G357" t="s">
        <v>356</v>
      </c>
      <c r="H357" t="str">
        <f>VLOOKUP(Tableau65[[#This Row],[Utilisateur]],Tableau3[[Prenoms (ID)]:[Localisation]],2,FALSE)</f>
        <v>Audit CPA</v>
      </c>
      <c r="I357" t="str">
        <f>VLOOKUP(Tableau65[[#This Row],[Utilisateur]],Tableau3[[Prenoms (ID)]:[Localisation]],3,FALSE)</f>
        <v>AUDIT-CPA</v>
      </c>
      <c r="J357" t="str">
        <f>VLOOKUP(Tableau65[[#This Row],[Utilisateur]],Tableau3[[Prenoms (ID)]:[CABINET]],4,FALSE)</f>
        <v>CPA</v>
      </c>
    </row>
    <row r="358" spans="1:10" x14ac:dyDescent="0.25">
      <c r="A358" s="2">
        <v>45559</v>
      </c>
      <c r="B358" t="s">
        <v>60</v>
      </c>
      <c r="C358" s="6">
        <v>1</v>
      </c>
      <c r="D358" t="s">
        <v>49</v>
      </c>
      <c r="G358" t="s">
        <v>550</v>
      </c>
      <c r="H358" t="str">
        <f>VLOOKUP(Tableau65[[#This Row],[Utilisateur]],Tableau3[[Prenoms (ID)]:[Localisation]],2,FALSE)</f>
        <v>Accefi</v>
      </c>
      <c r="I358" t="str">
        <f>VLOOKUP(Tableau65[[#This Row],[Utilisateur]],Tableau3[[Prenoms (ID)]:[Localisation]],3,FALSE)</f>
        <v>ACCEFI</v>
      </c>
      <c r="J358" t="str">
        <f>VLOOKUP(Tableau65[[#This Row],[Utilisateur]],Tableau3[[Prenoms (ID)]:[CABINET]],4,FALSE)</f>
        <v>CPA</v>
      </c>
    </row>
    <row r="359" spans="1:10" x14ac:dyDescent="0.25">
      <c r="A359" s="2">
        <v>45560</v>
      </c>
      <c r="B359" t="s">
        <v>84</v>
      </c>
      <c r="C359" s="6">
        <v>1</v>
      </c>
      <c r="D359" t="s">
        <v>49</v>
      </c>
      <c r="G359" t="s">
        <v>537</v>
      </c>
      <c r="H359" t="str">
        <f>VLOOKUP(Tableau65[[#This Row],[Utilisateur]],Tableau3[[Prenoms (ID)]:[Localisation]],2,FALSE)</f>
        <v>QUALITE</v>
      </c>
      <c r="I359" t="str">
        <f>VLOOKUP(Tableau65[[#This Row],[Utilisateur]],Tableau3[[Prenoms (ID)]:[Localisation]],3,FALSE)</f>
        <v>DIRECTION</v>
      </c>
      <c r="J359" t="str">
        <f>VLOOKUP(Tableau65[[#This Row],[Utilisateur]],Tableau3[[Prenoms (ID)]:[CABINET]],4,FALSE)</f>
        <v>CPA</v>
      </c>
    </row>
    <row r="360" spans="1:10" x14ac:dyDescent="0.25">
      <c r="A360" s="2">
        <v>45560</v>
      </c>
      <c r="B360" t="s">
        <v>84</v>
      </c>
      <c r="C360" s="6">
        <v>1</v>
      </c>
      <c r="D360" t="s">
        <v>49</v>
      </c>
      <c r="G360" t="s">
        <v>551</v>
      </c>
      <c r="H360" t="str">
        <f>VLOOKUP(Tableau65[[#This Row],[Utilisateur]],Tableau3[[Prenoms (ID)]:[Localisation]],2,FALSE)</f>
        <v>FEDIS</v>
      </c>
      <c r="I360" t="str">
        <f>VLOOKUP(Tableau65[[#This Row],[Utilisateur]],Tableau3[[Prenoms (ID)]:[Localisation]],3,FALSE)</f>
        <v>DEV</v>
      </c>
      <c r="J360">
        <f>VLOOKUP(Tableau65[[#This Row],[Utilisateur]],Tableau3[[Prenoms (ID)]:[CABINET]],4,FALSE)</f>
        <v>0</v>
      </c>
    </row>
    <row r="361" spans="1:10" x14ac:dyDescent="0.25">
      <c r="A361" s="2">
        <v>45560</v>
      </c>
      <c r="B361" t="s">
        <v>84</v>
      </c>
      <c r="C361" s="6">
        <v>1</v>
      </c>
      <c r="D361" t="s">
        <v>49</v>
      </c>
      <c r="G361" t="s">
        <v>418</v>
      </c>
      <c r="H361" s="35" t="str">
        <f>VLOOKUP(Tableau65[[#This Row],[Utilisateur]],Tableau3[[Prenoms (ID)]:[Localisation]],2,FALSE)</f>
        <v>Audit CPA</v>
      </c>
      <c r="I361" s="35" t="str">
        <f>VLOOKUP(Tableau65[[#This Row],[Utilisateur]],Tableau3[[Prenoms (ID)]:[Localisation]],3,FALSE)</f>
        <v>AUDIT-CPA</v>
      </c>
      <c r="J361" s="35" t="str">
        <f>VLOOKUP(Tableau65[[#This Row],[Utilisateur]],Tableau3[[Prenoms (ID)]:[CABINET]],4,FALSE)</f>
        <v>CPA</v>
      </c>
    </row>
    <row r="362" spans="1:10" x14ac:dyDescent="0.25">
      <c r="A362" s="2">
        <v>45561</v>
      </c>
      <c r="B362" t="s">
        <v>52</v>
      </c>
      <c r="C362" s="57">
        <v>1</v>
      </c>
      <c r="D362" t="s">
        <v>49</v>
      </c>
      <c r="G362" t="s">
        <v>543</v>
      </c>
      <c r="H362" t="str">
        <f>VLOOKUP(Tableau65[[#This Row],[Utilisateur]],Tableau3[[Prenoms (ID)]:[Localisation]],2,FALSE)</f>
        <v>RECCI / Njato Be</v>
      </c>
      <c r="I362" t="str">
        <f>VLOOKUP(Tableau65[[#This Row],[Utilisateur]],Tableau3[[Prenoms (ID)]:[Localisation]],3,FALSE)</f>
        <v>BNI2</v>
      </c>
      <c r="J362">
        <f>VLOOKUP(Tableau65[[#This Row],[Utilisateur]],Tableau3[[Prenoms (ID)]:[CABINET]],4,FALSE)</f>
        <v>0</v>
      </c>
    </row>
    <row r="363" spans="1:10" x14ac:dyDescent="0.25">
      <c r="A363" s="2">
        <v>45562</v>
      </c>
      <c r="B363" t="s">
        <v>52</v>
      </c>
      <c r="C363" s="57">
        <v>1</v>
      </c>
      <c r="D363" t="s">
        <v>49</v>
      </c>
      <c r="G363" t="s">
        <v>552</v>
      </c>
      <c r="H363" s="35" t="str">
        <f>VLOOKUP(Tableau65[[#This Row],[Utilisateur]],Tableau3[[Prenoms (ID)]:[Localisation]],2,FALSE)</f>
        <v>Paie</v>
      </c>
      <c r="I363" s="35" t="str">
        <f>VLOOKUP(Tableau65[[#This Row],[Utilisateur]],Tableau3[[Prenoms (ID)]:[Localisation]],3,FALSE)</f>
        <v>BNI1</v>
      </c>
      <c r="J363" s="35">
        <f>VLOOKUP(Tableau65[[#This Row],[Utilisateur]],Tableau3[[Prenoms (ID)]:[CABINET]],4,FALSE)</f>
        <v>0</v>
      </c>
    </row>
    <row r="364" spans="1:10" x14ac:dyDescent="0.25">
      <c r="A364" s="2">
        <v>45565</v>
      </c>
      <c r="B364" t="s">
        <v>52</v>
      </c>
      <c r="C364" s="57">
        <v>1</v>
      </c>
      <c r="D364" t="s">
        <v>49</v>
      </c>
      <c r="G364" t="s">
        <v>553</v>
      </c>
      <c r="H364" t="str">
        <f>VLOOKUP(Tableau65[[#This Row],[Utilisateur]],Tableau3[[Prenoms (ID)]:[Localisation]],2,FALSE)</f>
        <v>Optique / Mirado</v>
      </c>
      <c r="I364" t="str">
        <f>VLOOKUP(Tableau65[[#This Row],[Utilisateur]],Tableau3[[Prenoms (ID)]:[Localisation]],3,FALSE)</f>
        <v>BNI1</v>
      </c>
      <c r="J364">
        <f>VLOOKUP(Tableau65[[#This Row],[Utilisateur]],Tableau3[[Prenoms (ID)]:[CABINET]],4,FALSE)</f>
        <v>0</v>
      </c>
    </row>
    <row r="365" spans="1:10" x14ac:dyDescent="0.25">
      <c r="A365" s="2">
        <v>45565</v>
      </c>
      <c r="B365" t="s">
        <v>52</v>
      </c>
      <c r="C365" s="57">
        <v>1</v>
      </c>
      <c r="D365" t="s">
        <v>49</v>
      </c>
      <c r="G365" t="s">
        <v>481</v>
      </c>
      <c r="H365" t="str">
        <f>VLOOKUP(Tableau65[[#This Row],[Utilisateur]],Tableau3[[Prenoms (ID)]:[Localisation]],2,FALSE)</f>
        <v>Cecca rueil</v>
      </c>
      <c r="I365" t="str">
        <f>VLOOKUP(Tableau65[[#This Row],[Utilisateur]],Tableau3[[Prenoms (ID)]:[Localisation]],3,FALSE)</f>
        <v>BNI1</v>
      </c>
      <c r="J365">
        <f>VLOOKUP(Tableau65[[#This Row],[Utilisateur]],Tableau3[[Prenoms (ID)]:[CABINET]],4,FALSE)</f>
        <v>0</v>
      </c>
    </row>
    <row r="366" spans="1:10" x14ac:dyDescent="0.25">
      <c r="A366" s="2">
        <v>45565</v>
      </c>
      <c r="B366" t="s">
        <v>52</v>
      </c>
      <c r="C366" s="57">
        <v>1</v>
      </c>
      <c r="D366" t="s">
        <v>49</v>
      </c>
      <c r="G366" t="s">
        <v>375</v>
      </c>
      <c r="H366" s="35" t="str">
        <f>VLOOKUP(Tableau65[[#This Row],[Utilisateur]],Tableau3[[Prenoms (ID)]:[Localisation]],2,FALSE)</f>
        <v>Audit CPA</v>
      </c>
      <c r="I366" s="35" t="str">
        <f>VLOOKUP(Tableau65[[#This Row],[Utilisateur]],Tableau3[[Prenoms (ID)]:[Localisation]],3,FALSE)</f>
        <v>AUDIT-CPA</v>
      </c>
      <c r="J366" s="35" t="str">
        <f>VLOOKUP(Tableau65[[#This Row],[Utilisateur]],Tableau3[[Prenoms (ID)]:[CABINET]],4,FALSE)</f>
        <v>CPA</v>
      </c>
    </row>
    <row r="367" spans="1:10" x14ac:dyDescent="0.25">
      <c r="A367" s="2">
        <v>45565</v>
      </c>
      <c r="B367" t="s">
        <v>52</v>
      </c>
      <c r="C367" s="57">
        <v>1</v>
      </c>
      <c r="D367" t="s">
        <v>49</v>
      </c>
      <c r="G367" t="s">
        <v>329</v>
      </c>
      <c r="H367" t="str">
        <f>VLOOKUP(Tableau65[[#This Row],[Utilisateur]],Tableau3[[Prenoms (ID)]:[Localisation]],2,FALSE)</f>
        <v>Optique / Sata</v>
      </c>
      <c r="I367" t="str">
        <f>VLOOKUP(Tableau65[[#This Row],[Utilisateur]],Tableau3[[Prenoms (ID)]:[Localisation]],3,FALSE)</f>
        <v>BNI1</v>
      </c>
      <c r="J367">
        <f>VLOOKUP(Tableau65[[#This Row],[Utilisateur]],Tableau3[[Prenoms (ID)]:[CABINET]],4,FALSE)</f>
        <v>0</v>
      </c>
    </row>
    <row r="368" spans="1:10" x14ac:dyDescent="0.25">
      <c r="A368" s="2">
        <v>45565</v>
      </c>
      <c r="B368" t="s">
        <v>52</v>
      </c>
      <c r="C368" s="57">
        <v>1</v>
      </c>
      <c r="D368" t="s">
        <v>49</v>
      </c>
      <c r="G368" t="s">
        <v>554</v>
      </c>
      <c r="H368" t="str">
        <f>VLOOKUP(Tableau65[[#This Row],[Utilisateur]],Tableau3[[Prenoms (ID)]:[Localisation]],2,FALSE)</f>
        <v>Audit CPA</v>
      </c>
      <c r="I368" t="str">
        <f>VLOOKUP(Tableau65[[#This Row],[Utilisateur]],Tableau3[[Prenoms (ID)]:[Localisation]],3,FALSE)</f>
        <v>AUDIT-CPA</v>
      </c>
      <c r="J368" t="str">
        <f>VLOOKUP(Tableau65[[#This Row],[Utilisateur]],Tableau3[[Prenoms (ID)]:[CABINET]],4,FALSE)</f>
        <v>CPA</v>
      </c>
    </row>
    <row r="369" spans="1:13" x14ac:dyDescent="0.25">
      <c r="A369" s="2">
        <v>45565</v>
      </c>
      <c r="B369" t="s">
        <v>52</v>
      </c>
      <c r="C369" s="57">
        <v>1</v>
      </c>
      <c r="D369" t="s">
        <v>49</v>
      </c>
      <c r="G369" t="s">
        <v>496</v>
      </c>
      <c r="H369" t="str">
        <f>VLOOKUP(Tableau65[[#This Row],[Utilisateur]],Tableau3[[Prenoms (ID)]:[Localisation]],2,FALSE)</f>
        <v>RECCI / Njato Be</v>
      </c>
      <c r="I369" t="str">
        <f>VLOOKUP(Tableau65[[#This Row],[Utilisateur]],Tableau3[[Prenoms (ID)]:[Localisation]],3,FALSE)</f>
        <v>BNI2</v>
      </c>
      <c r="J369">
        <f>VLOOKUP(Tableau65[[#This Row],[Utilisateur]],Tableau3[[Prenoms (ID)]:[CABINET]],4,FALSE)</f>
        <v>0</v>
      </c>
    </row>
    <row r="370" spans="1:13" x14ac:dyDescent="0.25">
      <c r="A370" s="2">
        <v>45565</v>
      </c>
      <c r="B370" t="s">
        <v>52</v>
      </c>
      <c r="C370" s="57">
        <v>1</v>
      </c>
      <c r="D370" t="s">
        <v>49</v>
      </c>
      <c r="G370" t="s">
        <v>514</v>
      </c>
      <c r="H370" t="str">
        <f>VLOOKUP(Tableau65[[#This Row],[Utilisateur]],Tableau3[[Prenoms (ID)]:[Localisation]],2,FALSE)</f>
        <v>RECCI / Lalaina</v>
      </c>
      <c r="I370" t="str">
        <f>VLOOKUP(Tableau65[[#This Row],[Utilisateur]],Tableau3[[Prenoms (ID)]:[Localisation]],3,FALSE)</f>
        <v>BNI2</v>
      </c>
      <c r="J370">
        <f>VLOOKUP(Tableau65[[#This Row],[Utilisateur]],Tableau3[[Prenoms (ID)]:[CABINET]],4,FALSE)</f>
        <v>0</v>
      </c>
    </row>
    <row r="371" spans="1:13" x14ac:dyDescent="0.25">
      <c r="A371" s="2">
        <v>45566</v>
      </c>
      <c r="B371" t="s">
        <v>54</v>
      </c>
      <c r="C371" s="6">
        <v>1</v>
      </c>
      <c r="D371" t="s">
        <v>49</v>
      </c>
      <c r="G371" t="s">
        <v>555</v>
      </c>
      <c r="H371" t="str">
        <f>VLOOKUP(Tableau65[[#This Row],[Utilisateur]],Tableau3[[Prenoms (ID)]:[Localisation]],2,FALSE)</f>
        <v>Audit CPA</v>
      </c>
      <c r="I371" t="str">
        <f>VLOOKUP(Tableau65[[#This Row],[Utilisateur]],Tableau3[[Prenoms (ID)]:[Localisation]],3,FALSE)</f>
        <v>AUDIT-CPA</v>
      </c>
      <c r="J371" t="str">
        <f>VLOOKUP(Tableau65[[#This Row],[Utilisateur]],Tableau3[[Prenoms (ID)]:[CABINET]],4,FALSE)</f>
        <v>CPA</v>
      </c>
    </row>
    <row r="372" spans="1:13" x14ac:dyDescent="0.25">
      <c r="A372" s="2">
        <v>45495</v>
      </c>
      <c r="B372" t="s">
        <v>24</v>
      </c>
      <c r="C372" s="6">
        <v>1</v>
      </c>
      <c r="D372" t="s">
        <v>49</v>
      </c>
      <c r="G372" t="s">
        <v>378</v>
      </c>
      <c r="H372" t="str">
        <f>VLOOKUP(Tableau65[[#This Row],[Utilisateur]],Tableau3[[Prenoms (ID)]:[Localisation]],2,FALSE)</f>
        <v>Audit CPA</v>
      </c>
      <c r="I372" t="str">
        <f>VLOOKUP(Tableau65[[#This Row],[Utilisateur]],Tableau3[[Prenoms (ID)]:[Localisation]],3,FALSE)</f>
        <v>AUDIT-CPA</v>
      </c>
      <c r="J372" t="str">
        <f>VLOOKUP(Tableau65[[#This Row],[Utilisateur]],Tableau3[[Prenoms (ID)]:[CABINET]],4,FALSE)</f>
        <v>CPA</v>
      </c>
    </row>
    <row r="373" spans="1:13" x14ac:dyDescent="0.25">
      <c r="A373" s="2">
        <v>45567</v>
      </c>
      <c r="B373" t="s">
        <v>139</v>
      </c>
      <c r="C373" s="6">
        <v>1</v>
      </c>
      <c r="D373" t="s">
        <v>49</v>
      </c>
      <c r="G373" t="s">
        <v>556</v>
      </c>
      <c r="H373" t="str">
        <f>VLOOKUP(Tableau65[[#This Row],[Utilisateur]],Tableau3[[Prenoms (ID)]:[Localisation]],2,FALSE)</f>
        <v>Eccentive</v>
      </c>
      <c r="I373" t="str">
        <f>VLOOKUP(Tableau65[[#This Row],[Utilisateur]],Tableau3[[Prenoms (ID)]:[Localisation]],3,FALSE)</f>
        <v>ECCENTIVE</v>
      </c>
      <c r="J373">
        <f>VLOOKUP(Tableau65[[#This Row],[Utilisateur]],Tableau3[[Prenoms (ID)]:[CABINET]],4,FALSE)</f>
        <v>0</v>
      </c>
    </row>
    <row r="374" spans="1:13" x14ac:dyDescent="0.25">
      <c r="A374" s="2">
        <v>45569</v>
      </c>
      <c r="B374" t="s">
        <v>52</v>
      </c>
      <c r="C374" s="57">
        <v>1</v>
      </c>
      <c r="D374" t="s">
        <v>49</v>
      </c>
      <c r="G374" t="s">
        <v>533</v>
      </c>
      <c r="H374" t="str">
        <f>VLOOKUP(Tableau65[[#This Row],[Utilisateur]],Tableau3[[Prenoms (ID)]:[Localisation]],2,FALSE)</f>
        <v>Xperia</v>
      </c>
      <c r="I374" t="str">
        <f>VLOOKUP(Tableau65[[#This Row],[Utilisateur]],Tableau3[[Prenoms (ID)]:[Localisation]],3,FALSE)</f>
        <v>SOCIAL</v>
      </c>
      <c r="J374">
        <f>VLOOKUP(Tableau65[[#This Row],[Utilisateur]],Tableau3[[Prenoms (ID)]:[CABINET]],4,FALSE)</f>
        <v>0</v>
      </c>
    </row>
    <row r="375" spans="1:13" x14ac:dyDescent="0.25">
      <c r="A375" s="2">
        <v>45572</v>
      </c>
      <c r="B375" t="s">
        <v>52</v>
      </c>
      <c r="C375" s="57">
        <v>1</v>
      </c>
      <c r="D375" t="s">
        <v>49</v>
      </c>
      <c r="G375" t="s">
        <v>557</v>
      </c>
      <c r="H375" t="str">
        <f>VLOOKUP(Tableau65[[#This Row],[Utilisateur]],Tableau3[[Prenoms (ID)]:[Localisation]],2,FALSE)</f>
        <v>-</v>
      </c>
      <c r="I375" t="str">
        <f>VLOOKUP(Tableau65[[#This Row],[Utilisateur]],Tableau3[[Prenoms (ID)]:[Localisation]],3,FALSE)</f>
        <v>BIRA</v>
      </c>
      <c r="J375" t="str">
        <f>VLOOKUP(Tableau65[[#This Row],[Utilisateur]],Tableau3[[Prenoms (ID)]:[CABINET]],4,FALSE)</f>
        <v>CPA</v>
      </c>
      <c r="M375" t="s">
        <v>558</v>
      </c>
    </row>
    <row r="376" spans="1:13" x14ac:dyDescent="0.25">
      <c r="A376" s="2">
        <v>45573</v>
      </c>
      <c r="B376" t="s">
        <v>52</v>
      </c>
      <c r="C376" s="57">
        <v>1</v>
      </c>
      <c r="D376" t="s">
        <v>49</v>
      </c>
      <c r="G376" t="s">
        <v>490</v>
      </c>
      <c r="H376" t="str">
        <f>VLOOKUP(Tableau65[[#This Row],[Utilisateur]],Tableau3[[Prenoms (ID)]:[Localisation]],2,FALSE)</f>
        <v>Audit CPA</v>
      </c>
      <c r="I376" t="str">
        <f>VLOOKUP(Tableau65[[#This Row],[Utilisateur]],Tableau3[[Prenoms (ID)]:[Localisation]],3,FALSE)</f>
        <v>MADAFIT</v>
      </c>
      <c r="J376" t="str">
        <f>VLOOKUP(Tableau65[[#This Row],[Utilisateur]],Tableau3[[Prenoms (ID)]:[CABINET]],4,FALSE)</f>
        <v>CPA</v>
      </c>
    </row>
    <row r="377" spans="1:13" x14ac:dyDescent="0.25">
      <c r="A377" s="2">
        <v>45573</v>
      </c>
      <c r="B377" t="s">
        <v>52</v>
      </c>
      <c r="C377" s="57">
        <v>1</v>
      </c>
      <c r="D377" t="s">
        <v>49</v>
      </c>
      <c r="G377" t="s">
        <v>478</v>
      </c>
      <c r="H377" t="str">
        <f>VLOOKUP(Tableau65[[#This Row],[Utilisateur]],Tableau3[[Prenoms (ID)]:[Localisation]],2,FALSE)</f>
        <v>Apprenti</v>
      </c>
      <c r="I377" t="str">
        <f>VLOOKUP(Tableau65[[#This Row],[Utilisateur]],Tableau3[[Prenoms (ID)]:[Localisation]],3,FALSE)</f>
        <v>-</v>
      </c>
      <c r="J377">
        <f>VLOOKUP(Tableau65[[#This Row],[Utilisateur]],Tableau3[[Prenoms (ID)]:[CABINET]],4,FALSE)</f>
        <v>0</v>
      </c>
    </row>
    <row r="378" spans="1:13" x14ac:dyDescent="0.25">
      <c r="A378" s="2">
        <v>45574</v>
      </c>
      <c r="B378" t="s">
        <v>52</v>
      </c>
      <c r="C378" s="57">
        <v>1</v>
      </c>
      <c r="D378" t="s">
        <v>49</v>
      </c>
      <c r="G378" t="s">
        <v>559</v>
      </c>
      <c r="H378" t="str">
        <f>VLOOKUP(Tableau65[[#This Row],[Utilisateur]],Tableau3[[Prenoms (ID)]:[Localisation]],2,FALSE)</f>
        <v>Apprenti</v>
      </c>
      <c r="I378" t="str">
        <f>VLOOKUP(Tableau65[[#This Row],[Utilisateur]],Tableau3[[Prenoms (ID)]:[Localisation]],3,FALSE)</f>
        <v>-</v>
      </c>
      <c r="J378">
        <f>VLOOKUP(Tableau65[[#This Row],[Utilisateur]],Tableau3[[Prenoms (ID)]:[CABINET]],4,FALSE)</f>
        <v>0</v>
      </c>
    </row>
    <row r="379" spans="1:13" x14ac:dyDescent="0.25">
      <c r="A379" s="2">
        <v>45498</v>
      </c>
      <c r="B379" t="s">
        <v>24</v>
      </c>
      <c r="C379" s="6">
        <v>1</v>
      </c>
      <c r="D379" t="s">
        <v>49</v>
      </c>
      <c r="E379" t="s">
        <v>560</v>
      </c>
      <c r="H379" s="35" t="e">
        <f>VLOOKUP(Tableau65[[#This Row],[Utilisateur]],Tableau3[[Prenoms (ID)]:[Localisation]],2,FALSE)</f>
        <v>#N/A</v>
      </c>
      <c r="I379" s="35" t="e">
        <f>VLOOKUP(Tableau65[[#This Row],[Utilisateur]],Tableau3[[Prenoms (ID)]:[Localisation]],3,FALSE)</f>
        <v>#N/A</v>
      </c>
      <c r="J379" s="35" t="e">
        <f>VLOOKUP(Tableau65[[#This Row],[Utilisateur]],Tableau3[[Prenoms (ID)]:[CABINET]],4,FALSE)</f>
        <v>#N/A</v>
      </c>
    </row>
    <row r="380" spans="1:13" x14ac:dyDescent="0.25">
      <c r="A380" s="2">
        <v>45574</v>
      </c>
      <c r="B380" t="s">
        <v>52</v>
      </c>
      <c r="C380" s="57">
        <v>1</v>
      </c>
      <c r="D380" t="s">
        <v>49</v>
      </c>
      <c r="G380" t="s">
        <v>561</v>
      </c>
      <c r="H380" t="str">
        <f>VLOOKUP(Tableau65[[#This Row],[Utilisateur]],Tableau3[[Prenoms (ID)]:[Localisation]],2,FALSE)</f>
        <v>Audit CPA</v>
      </c>
      <c r="I380" t="str">
        <f>VLOOKUP(Tableau65[[#This Row],[Utilisateur]],Tableau3[[Prenoms (ID)]:[Localisation]],3,FALSE)</f>
        <v>AUDIT-CPA</v>
      </c>
      <c r="J380" t="str">
        <f>VLOOKUP(Tableau65[[#This Row],[Utilisateur]],Tableau3[[Prenoms (ID)]:[CABINET]],4,FALSE)</f>
        <v>CPA</v>
      </c>
    </row>
    <row r="381" spans="1:13" x14ac:dyDescent="0.25">
      <c r="A381" s="2">
        <v>45575</v>
      </c>
      <c r="B381" t="s">
        <v>52</v>
      </c>
      <c r="C381" s="57">
        <v>1</v>
      </c>
      <c r="D381" t="s">
        <v>49</v>
      </c>
      <c r="G381" t="s">
        <v>562</v>
      </c>
      <c r="H381" t="str">
        <f>VLOOKUP(Tableau65[[#This Row],[Utilisateur]],Tableau3[[Prenoms (ID)]:[Localisation]],2,FALSE)</f>
        <v>Paie</v>
      </c>
      <c r="I381" t="str">
        <f>VLOOKUP(Tableau65[[#This Row],[Utilisateur]],Tableau3[[Prenoms (ID)]:[Localisation]],3,FALSE)</f>
        <v>SOCIAL</v>
      </c>
      <c r="J381">
        <f>VLOOKUP(Tableau65[[#This Row],[Utilisateur]],Tableau3[[Prenoms (ID)]:[CABINET]],4,FALSE)</f>
        <v>0</v>
      </c>
    </row>
    <row r="382" spans="1:13" x14ac:dyDescent="0.25">
      <c r="A382" s="2">
        <v>45575</v>
      </c>
      <c r="B382" t="s">
        <v>52</v>
      </c>
      <c r="C382" s="57">
        <v>1</v>
      </c>
      <c r="D382" t="s">
        <v>49</v>
      </c>
      <c r="G382" t="s">
        <v>563</v>
      </c>
      <c r="H382" t="str">
        <f>VLOOKUP(Tableau65[[#This Row],[Utilisateur]],Tableau3[[Prenoms (ID)]:[Localisation]],2,FALSE)</f>
        <v>Juridique</v>
      </c>
      <c r="I382" t="str">
        <f>VLOOKUP(Tableau65[[#This Row],[Utilisateur]],Tableau3[[Prenoms (ID)]:[Localisation]],3,FALSE)</f>
        <v>BNI2</v>
      </c>
      <c r="J382">
        <f>VLOOKUP(Tableau65[[#This Row],[Utilisateur]],Tableau3[[Prenoms (ID)]:[CABINET]],4,FALSE)</f>
        <v>0</v>
      </c>
    </row>
    <row r="383" spans="1:13" x14ac:dyDescent="0.25">
      <c r="A383" s="2">
        <v>45575</v>
      </c>
      <c r="B383" t="s">
        <v>52</v>
      </c>
      <c r="C383" s="57">
        <v>1</v>
      </c>
      <c r="D383" t="s">
        <v>49</v>
      </c>
      <c r="G383" t="s">
        <v>564</v>
      </c>
      <c r="H383" t="str">
        <f>VLOOKUP(Tableau65[[#This Row],[Utilisateur]],Tableau3[[Prenoms (ID)]:[Localisation]],2,FALSE)</f>
        <v>Juridique</v>
      </c>
      <c r="I383" t="str">
        <f>VLOOKUP(Tableau65[[#This Row],[Utilisateur]],Tableau3[[Prenoms (ID)]:[Localisation]],3,FALSE)</f>
        <v>BNI2</v>
      </c>
      <c r="J383">
        <f>VLOOKUP(Tableau65[[#This Row],[Utilisateur]],Tableau3[[Prenoms (ID)]:[CABINET]],4,FALSE)</f>
        <v>0</v>
      </c>
    </row>
    <row r="384" spans="1:13" x14ac:dyDescent="0.25">
      <c r="A384" s="2">
        <v>45575</v>
      </c>
      <c r="B384" t="s">
        <v>54</v>
      </c>
      <c r="C384" s="6">
        <v>1</v>
      </c>
      <c r="D384" t="s">
        <v>49</v>
      </c>
      <c r="G384" t="s">
        <v>562</v>
      </c>
      <c r="H384" t="str">
        <f>VLOOKUP(Tableau65[[#This Row],[Utilisateur]],Tableau3[[Prenoms (ID)]:[Localisation]],2,FALSE)</f>
        <v>Paie</v>
      </c>
      <c r="I384" t="str">
        <f>VLOOKUP(Tableau65[[#This Row],[Utilisateur]],Tableau3[[Prenoms (ID)]:[Localisation]],3,FALSE)</f>
        <v>SOCIAL</v>
      </c>
      <c r="J384">
        <f>VLOOKUP(Tableau65[[#This Row],[Utilisateur]],Tableau3[[Prenoms (ID)]:[CABINET]],4,FALSE)</f>
        <v>0</v>
      </c>
    </row>
    <row r="385" spans="1:13" x14ac:dyDescent="0.25">
      <c r="A385" s="2">
        <v>45575</v>
      </c>
      <c r="B385" t="s">
        <v>60</v>
      </c>
      <c r="C385" s="6">
        <v>1</v>
      </c>
      <c r="D385" t="s">
        <v>49</v>
      </c>
      <c r="G385" t="s">
        <v>325</v>
      </c>
      <c r="H385" s="35" t="str">
        <f>VLOOKUP(Tableau65[[#This Row],[Utilisateur]],Tableau3[[Prenoms (ID)]:[Localisation]],2,FALSE)</f>
        <v>Accefi</v>
      </c>
      <c r="I385" s="35" t="str">
        <f>VLOOKUP(Tableau65[[#This Row],[Utilisateur]],Tableau3[[Prenoms (ID)]:[Localisation]],3,FALSE)</f>
        <v>ACCEFI</v>
      </c>
      <c r="J385" s="35" t="str">
        <f>VLOOKUP(Tableau65[[#This Row],[Utilisateur]],Tableau3[[Prenoms (ID)]:[CABINET]],4,FALSE)</f>
        <v>CPA</v>
      </c>
    </row>
    <row r="386" spans="1:13" x14ac:dyDescent="0.25">
      <c r="A386" s="2">
        <v>45576</v>
      </c>
      <c r="B386" t="s">
        <v>52</v>
      </c>
      <c r="C386" s="57">
        <v>1</v>
      </c>
      <c r="D386" t="s">
        <v>49</v>
      </c>
      <c r="G386" t="s">
        <v>316</v>
      </c>
      <c r="H386" t="str">
        <f>VLOOKUP(Tableau65[[#This Row],[Utilisateur]],Tableau3[[Prenoms (ID)]:[Localisation]],2,FALSE)</f>
        <v>Audit CPA</v>
      </c>
      <c r="I386" t="str">
        <f>VLOOKUP(Tableau65[[#This Row],[Utilisateur]],Tableau3[[Prenoms (ID)]:[Localisation]],3,FALSE)</f>
        <v>AUDIT-CPA</v>
      </c>
      <c r="J386" t="str">
        <f>VLOOKUP(Tableau65[[#This Row],[Utilisateur]],Tableau3[[Prenoms (ID)]:[CABINET]],4,FALSE)</f>
        <v>CPA</v>
      </c>
    </row>
    <row r="387" spans="1:13" x14ac:dyDescent="0.25">
      <c r="A387" s="2">
        <v>45576</v>
      </c>
      <c r="B387" t="s">
        <v>52</v>
      </c>
      <c r="C387" s="57">
        <v>1</v>
      </c>
      <c r="D387" t="s">
        <v>49</v>
      </c>
      <c r="G387" t="s">
        <v>430</v>
      </c>
      <c r="H387" t="str">
        <f>VLOOKUP(Tableau65[[#This Row],[Utilisateur]],Tableau3[[Prenoms (ID)]:[Localisation]],2,FALSE)</f>
        <v>Audit CPA</v>
      </c>
      <c r="I387" t="str">
        <f>VLOOKUP(Tableau65[[#This Row],[Utilisateur]],Tableau3[[Prenoms (ID)]:[Localisation]],3,FALSE)</f>
        <v>AUDIT-CPA</v>
      </c>
      <c r="J387" t="str">
        <f>VLOOKUP(Tableau65[[#This Row],[Utilisateur]],Tableau3[[Prenoms (ID)]:[CABINET]],4,FALSE)</f>
        <v>CPA</v>
      </c>
    </row>
    <row r="388" spans="1:13" x14ac:dyDescent="0.25">
      <c r="A388" s="2">
        <v>45576</v>
      </c>
      <c r="B388" t="s">
        <v>52</v>
      </c>
      <c r="C388" s="57">
        <v>1</v>
      </c>
      <c r="D388" t="s">
        <v>49</v>
      </c>
      <c r="G388" t="s">
        <v>565</v>
      </c>
      <c r="H388" s="35" t="str">
        <f>VLOOKUP(Tableau65[[#This Row],[Utilisateur]],Tableau3[[Prenoms (ID)]:[Localisation]],2,FALSE)</f>
        <v>RECCI / Njato Be</v>
      </c>
      <c r="I388" s="35" t="str">
        <f>VLOOKUP(Tableau65[[#This Row],[Utilisateur]],Tableau3[[Prenoms (ID)]:[Localisation]],3,FALSE)</f>
        <v>BNI2</v>
      </c>
      <c r="J388" s="35">
        <f>VLOOKUP(Tableau65[[#This Row],[Utilisateur]],Tableau3[[Prenoms (ID)]:[CABINET]],4,FALSE)</f>
        <v>0</v>
      </c>
    </row>
    <row r="389" spans="1:13" x14ac:dyDescent="0.25">
      <c r="A389" s="2">
        <v>45579</v>
      </c>
      <c r="B389" t="s">
        <v>52</v>
      </c>
      <c r="C389" s="57">
        <v>1</v>
      </c>
      <c r="D389" t="s">
        <v>49</v>
      </c>
      <c r="G389" t="s">
        <v>523</v>
      </c>
      <c r="H389" t="str">
        <f>VLOOKUP(Tableau65[[#This Row],[Utilisateur]],Tableau3[[Prenoms (ID)]:[Localisation]],2,FALSE)</f>
        <v>PROGEXION</v>
      </c>
      <c r="I389" t="str">
        <f>VLOOKUP(Tableau65[[#This Row],[Utilisateur]],Tableau3[[Prenoms (ID)]:[Localisation]],3,FALSE)</f>
        <v>ARSAC</v>
      </c>
      <c r="J389">
        <f>VLOOKUP(Tableau65[[#This Row],[Utilisateur]],Tableau3[[Prenoms (ID)]:[CABINET]],4,FALSE)</f>
        <v>0</v>
      </c>
    </row>
    <row r="390" spans="1:13" x14ac:dyDescent="0.25">
      <c r="A390" s="2">
        <v>45579</v>
      </c>
      <c r="B390" t="s">
        <v>52</v>
      </c>
      <c r="C390" s="57">
        <v>1</v>
      </c>
      <c r="D390" t="s">
        <v>49</v>
      </c>
      <c r="G390" t="s">
        <v>380</v>
      </c>
      <c r="H390" t="str">
        <f>VLOOKUP(Tableau65[[#This Row],[Utilisateur]],Tableau3[[Prenoms (ID)]:[Localisation]],2,FALSE)</f>
        <v>PROGEXION</v>
      </c>
      <c r="I390" t="str">
        <f>VLOOKUP(Tableau65[[#This Row],[Utilisateur]],Tableau3[[Prenoms (ID)]:[Localisation]],3,FALSE)</f>
        <v>ARSAC</v>
      </c>
      <c r="J390">
        <f>VLOOKUP(Tableau65[[#This Row],[Utilisateur]],Tableau3[[Prenoms (ID)]:[CABINET]],4,FALSE)</f>
        <v>0</v>
      </c>
    </row>
    <row r="391" spans="1:13" x14ac:dyDescent="0.25">
      <c r="A391" s="2">
        <v>45579</v>
      </c>
      <c r="B391" t="s">
        <v>52</v>
      </c>
      <c r="C391" s="57">
        <v>1</v>
      </c>
      <c r="D391" t="s">
        <v>49</v>
      </c>
      <c r="G391" t="s">
        <v>519</v>
      </c>
      <c r="H391" s="35" t="str">
        <f>VLOOKUP(Tableau65[[#This Row],[Utilisateur]],Tableau3[[Prenoms (ID)]:[Localisation]],2,FALSE)</f>
        <v>Ozeo</v>
      </c>
      <c r="I391" s="35" t="str">
        <f>VLOOKUP(Tableau65[[#This Row],[Utilisateur]],Tableau3[[Prenoms (ID)]:[Localisation]],3,FALSE)</f>
        <v>CENTRE</v>
      </c>
      <c r="J391" s="35">
        <f>VLOOKUP(Tableau65[[#This Row],[Utilisateur]],Tableau3[[Prenoms (ID)]:[CABINET]],4,FALSE)</f>
        <v>0</v>
      </c>
    </row>
    <row r="392" spans="1:13" x14ac:dyDescent="0.25">
      <c r="A392" s="2">
        <v>45579</v>
      </c>
      <c r="B392" t="s">
        <v>52</v>
      </c>
      <c r="C392" s="57">
        <v>1</v>
      </c>
      <c r="D392" t="s">
        <v>49</v>
      </c>
      <c r="G392" t="s">
        <v>391</v>
      </c>
      <c r="H392" t="str">
        <f>VLOOKUP(Tableau65[[#This Row],[Utilisateur]],Tableau3[[Prenoms (ID)]:[Localisation]],2,FALSE)</f>
        <v>-</v>
      </c>
      <c r="I392" t="str">
        <f>VLOOKUP(Tableau65[[#This Row],[Utilisateur]],Tableau3[[Prenoms (ID)]:[Localisation]],3,FALSE)</f>
        <v>BIRA</v>
      </c>
      <c r="J392" t="str">
        <f>VLOOKUP(Tableau65[[#This Row],[Utilisateur]],Tableau3[[Prenoms (ID)]:[CABINET]],4,FALSE)</f>
        <v>CPA</v>
      </c>
      <c r="M392" t="s">
        <v>432</v>
      </c>
    </row>
    <row r="393" spans="1:13" x14ac:dyDescent="0.25">
      <c r="A393" s="2">
        <v>45582</v>
      </c>
      <c r="B393" t="s">
        <v>52</v>
      </c>
      <c r="C393" s="57">
        <v>1</v>
      </c>
      <c r="D393" t="s">
        <v>49</v>
      </c>
      <c r="G393" t="s">
        <v>566</v>
      </c>
      <c r="H393" s="35" t="str">
        <f>VLOOKUP(Tableau65[[#This Row],[Utilisateur]],Tableau3[[Prenoms (ID)]:[Localisation]],2,FALSE)</f>
        <v>Audit CPA</v>
      </c>
      <c r="I393" s="35" t="str">
        <f>VLOOKUP(Tableau65[[#This Row],[Utilisateur]],Tableau3[[Prenoms (ID)]:[Localisation]],3,FALSE)</f>
        <v>AUDIT-CPA</v>
      </c>
      <c r="J393" s="35" t="str">
        <f>VLOOKUP(Tableau65[[#This Row],[Utilisateur]],Tableau3[[Prenoms (ID)]:[CABINET]],4,FALSE)</f>
        <v>CPA</v>
      </c>
    </row>
    <row r="394" spans="1:13" x14ac:dyDescent="0.25">
      <c r="A394" s="2">
        <v>45583</v>
      </c>
      <c r="B394" t="s">
        <v>52</v>
      </c>
      <c r="C394" s="57">
        <v>1</v>
      </c>
      <c r="D394" t="s">
        <v>49</v>
      </c>
      <c r="G394" t="s">
        <v>567</v>
      </c>
      <c r="H394" s="35" t="str">
        <f>VLOOKUP(Tableau65[[#This Row],[Utilisateur]],Tableau3[[Prenoms (ID)]:[Localisation]],2,FALSE)</f>
        <v>Juridique</v>
      </c>
      <c r="I394" s="35" t="str">
        <f>VLOOKUP(Tableau65[[#This Row],[Utilisateur]],Tableau3[[Prenoms (ID)]:[Localisation]],3,FALSE)</f>
        <v>BNI2</v>
      </c>
      <c r="J394" s="35">
        <f>VLOOKUP(Tableau65[[#This Row],[Utilisateur]],Tableau3[[Prenoms (ID)]:[CABINET]],4,FALSE)</f>
        <v>0</v>
      </c>
    </row>
    <row r="395" spans="1:13" x14ac:dyDescent="0.25">
      <c r="A395" s="2">
        <v>45583</v>
      </c>
      <c r="B395" t="s">
        <v>25</v>
      </c>
      <c r="C395" s="6">
        <v>1</v>
      </c>
      <c r="D395" t="s">
        <v>49</v>
      </c>
      <c r="G395" t="s">
        <v>508</v>
      </c>
      <c r="H395" t="str">
        <f>VLOOKUP(Tableau65[[#This Row],[Utilisateur]],Tableau3[[Prenoms (ID)]:[Localisation]],2,FALSE)</f>
        <v>Optique / Mirado</v>
      </c>
      <c r="I395" t="str">
        <f>VLOOKUP(Tableau65[[#This Row],[Utilisateur]],Tableau3[[Prenoms (ID)]:[Localisation]],3,FALSE)</f>
        <v>BNI1</v>
      </c>
      <c r="J395">
        <f>VLOOKUP(Tableau65[[#This Row],[Utilisateur]],Tableau3[[Prenoms (ID)]:[CABINET]],4,FALSE)</f>
        <v>0</v>
      </c>
    </row>
    <row r="396" spans="1:13" x14ac:dyDescent="0.25">
      <c r="A396" s="2">
        <v>45583</v>
      </c>
      <c r="B396" t="s">
        <v>52</v>
      </c>
      <c r="C396" s="57">
        <v>1</v>
      </c>
      <c r="D396" t="s">
        <v>49</v>
      </c>
      <c r="G396" t="s">
        <v>511</v>
      </c>
      <c r="H396" t="str">
        <f>VLOOKUP(Tableau65[[#This Row],[Utilisateur]],Tableau3[[Prenoms (ID)]:[Localisation]],2,FALSE)</f>
        <v>Impulsa</v>
      </c>
      <c r="I396" t="str">
        <f>VLOOKUP(Tableau65[[#This Row],[Utilisateur]],Tableau3[[Prenoms (ID)]:[Localisation]],3,FALSE)</f>
        <v>BNI2</v>
      </c>
      <c r="J396">
        <f>VLOOKUP(Tableau65[[#This Row],[Utilisateur]],Tableau3[[Prenoms (ID)]:[CABINET]],4,FALSE)</f>
        <v>0</v>
      </c>
    </row>
    <row r="397" spans="1:13" x14ac:dyDescent="0.25">
      <c r="A397" s="2">
        <v>45586</v>
      </c>
      <c r="B397" t="s">
        <v>52</v>
      </c>
      <c r="C397" s="57">
        <v>1</v>
      </c>
      <c r="D397" t="s">
        <v>49</v>
      </c>
      <c r="G397" t="s">
        <v>371</v>
      </c>
      <c r="H397" s="35" t="str">
        <f>VLOOKUP(Tableau65[[#This Row],[Utilisateur]],Tableau3[[Prenoms (ID)]:[Localisation]],2,FALSE)</f>
        <v>COMPTASTAR</v>
      </c>
      <c r="I397" s="35" t="str">
        <f>VLOOKUP(Tableau65[[#This Row],[Utilisateur]],Tableau3[[Prenoms (ID)]:[Localisation]],3,FALSE)</f>
        <v>COMPTASTAR</v>
      </c>
      <c r="J397" s="35" t="str">
        <f>VLOOKUP(Tableau65[[#This Row],[Utilisateur]],Tableau3[[Prenoms (ID)]:[CABINET]],4,FALSE)</f>
        <v>CPA</v>
      </c>
    </row>
    <row r="398" spans="1:13" x14ac:dyDescent="0.25">
      <c r="A398" s="2">
        <v>45587</v>
      </c>
      <c r="B398" t="s">
        <v>112</v>
      </c>
      <c r="C398" s="6">
        <v>1</v>
      </c>
      <c r="D398" t="s">
        <v>49</v>
      </c>
      <c r="G398" t="s">
        <v>113</v>
      </c>
      <c r="H398">
        <f>VLOOKUP(Tableau65[[#This Row],[Utilisateur]],Tableau3[[Prenoms (ID)]:[Localisation]],2,FALSE)</f>
        <v>0</v>
      </c>
      <c r="I398">
        <f>VLOOKUP(Tableau65[[#This Row],[Utilisateur]],Tableau3[[Prenoms (ID)]:[Localisation]],3,FALSE)</f>
        <v>0</v>
      </c>
      <c r="J398" t="str">
        <f>VLOOKUP(Tableau65[[#This Row],[Utilisateur]],Tableau3[[Prenoms (ID)]:[CABINET]],4,FALSE)</f>
        <v>RFC</v>
      </c>
    </row>
    <row r="399" spans="1:13" x14ac:dyDescent="0.25">
      <c r="A399" s="2">
        <v>45587</v>
      </c>
      <c r="B399" t="s">
        <v>114</v>
      </c>
      <c r="C399" s="6">
        <v>1</v>
      </c>
      <c r="D399" t="s">
        <v>49</v>
      </c>
      <c r="E399" t="s">
        <v>568</v>
      </c>
      <c r="G399" t="s">
        <v>568</v>
      </c>
      <c r="H399">
        <f>VLOOKUP(Tableau65[[#This Row],[Utilisateur]],Tableau3[[Prenoms (ID)]:[Localisation]],2,FALSE)</f>
        <v>0</v>
      </c>
      <c r="I399">
        <f>VLOOKUP(Tableau65[[#This Row],[Utilisateur]],Tableau3[[Prenoms (ID)]:[Localisation]],3,FALSE)</f>
        <v>0</v>
      </c>
      <c r="J399">
        <f>VLOOKUP(Tableau65[[#This Row],[Utilisateur]],Tableau3[[Prenoms (ID)]:[CABINET]],4,FALSE)</f>
        <v>0</v>
      </c>
    </row>
    <row r="400" spans="1:13" x14ac:dyDescent="0.25">
      <c r="A400" s="2">
        <v>45587</v>
      </c>
      <c r="B400" t="s">
        <v>114</v>
      </c>
      <c r="C400" s="6">
        <v>1</v>
      </c>
      <c r="D400" t="s">
        <v>49</v>
      </c>
      <c r="E400" t="s">
        <v>568</v>
      </c>
      <c r="G400" t="s">
        <v>568</v>
      </c>
      <c r="H400">
        <f>VLOOKUP(Tableau65[[#This Row],[Utilisateur]],Tableau3[[Prenoms (ID)]:[Localisation]],2,FALSE)</f>
        <v>0</v>
      </c>
      <c r="I400">
        <f>VLOOKUP(Tableau65[[#This Row],[Utilisateur]],Tableau3[[Prenoms (ID)]:[Localisation]],3,FALSE)</f>
        <v>0</v>
      </c>
      <c r="J400">
        <f>VLOOKUP(Tableau65[[#This Row],[Utilisateur]],Tableau3[[Prenoms (ID)]:[CABINET]],4,FALSE)</f>
        <v>0</v>
      </c>
    </row>
    <row r="401" spans="1:10" x14ac:dyDescent="0.25">
      <c r="A401" s="2">
        <v>45587</v>
      </c>
      <c r="B401" t="s">
        <v>114</v>
      </c>
      <c r="C401" s="6">
        <v>1</v>
      </c>
      <c r="D401" t="s">
        <v>49</v>
      </c>
      <c r="E401" t="s">
        <v>568</v>
      </c>
      <c r="G401" t="s">
        <v>568</v>
      </c>
      <c r="H401">
        <f>VLOOKUP(Tableau65[[#This Row],[Utilisateur]],Tableau3[[Prenoms (ID)]:[Localisation]],2,FALSE)</f>
        <v>0</v>
      </c>
      <c r="I401">
        <f>VLOOKUP(Tableau65[[#This Row],[Utilisateur]],Tableau3[[Prenoms (ID)]:[Localisation]],3,FALSE)</f>
        <v>0</v>
      </c>
      <c r="J401">
        <f>VLOOKUP(Tableau65[[#This Row],[Utilisateur]],Tableau3[[Prenoms (ID)]:[CABINET]],4,FALSE)</f>
        <v>0</v>
      </c>
    </row>
    <row r="402" spans="1:10" x14ac:dyDescent="0.25">
      <c r="A402" s="2">
        <v>45587</v>
      </c>
      <c r="B402" t="s">
        <v>28</v>
      </c>
      <c r="C402" s="6">
        <v>1</v>
      </c>
      <c r="D402" t="s">
        <v>49</v>
      </c>
      <c r="G402" t="s">
        <v>569</v>
      </c>
      <c r="H402" t="str">
        <f>VLOOKUP(Tableau65[[#This Row],[Utilisateur]],Tableau3[[Prenoms (ID)]:[Localisation]],2,FALSE)</f>
        <v>C4U</v>
      </c>
      <c r="I402" t="str">
        <f>VLOOKUP(Tableau65[[#This Row],[Utilisateur]],Tableau3[[Prenoms (ID)]:[Localisation]],3,FALSE)</f>
        <v>LMNP</v>
      </c>
      <c r="J402">
        <f>VLOOKUP(Tableau65[[#This Row],[Utilisateur]],Tableau3[[Prenoms (ID)]:[CABINET]],4,FALSE)</f>
        <v>0</v>
      </c>
    </row>
    <row r="403" spans="1:10" x14ac:dyDescent="0.25">
      <c r="A403" s="2">
        <v>45587</v>
      </c>
      <c r="B403" t="s">
        <v>28</v>
      </c>
      <c r="C403" s="6">
        <v>1</v>
      </c>
      <c r="D403" t="s">
        <v>49</v>
      </c>
      <c r="G403" t="s">
        <v>417</v>
      </c>
      <c r="H403">
        <f>VLOOKUP(Tableau65[[#This Row],[Utilisateur]],Tableau3[[Prenoms (ID)]:[Localisation]],2,FALSE)</f>
        <v>0</v>
      </c>
      <c r="I403">
        <f>VLOOKUP(Tableau65[[#This Row],[Utilisateur]],Tableau3[[Prenoms (ID)]:[Localisation]],3,FALSE)</f>
        <v>0</v>
      </c>
      <c r="J403">
        <f>VLOOKUP(Tableau65[[#This Row],[Utilisateur]],Tableau3[[Prenoms (ID)]:[CABINET]],4,FALSE)</f>
        <v>0</v>
      </c>
    </row>
    <row r="404" spans="1:10" x14ac:dyDescent="0.25">
      <c r="A404" s="2">
        <v>45587</v>
      </c>
      <c r="B404" t="s">
        <v>119</v>
      </c>
      <c r="C404" s="6">
        <v>1</v>
      </c>
      <c r="D404" t="s">
        <v>49</v>
      </c>
      <c r="G404" t="s">
        <v>120</v>
      </c>
      <c r="H404">
        <f>VLOOKUP(Tableau65[[#This Row],[Utilisateur]],Tableau3[[Prenoms (ID)]:[Localisation]],2,FALSE)</f>
        <v>0</v>
      </c>
      <c r="I404" t="str">
        <f>VLOOKUP(Tableau65[[#This Row],[Utilisateur]],Tableau3[[Prenoms (ID)]:[Localisation]],3,FALSE)</f>
        <v>Centre</v>
      </c>
      <c r="J404">
        <f>VLOOKUP(Tableau65[[#This Row],[Utilisateur]],Tableau3[[Prenoms (ID)]:[CABINET]],4,FALSE)</f>
        <v>0</v>
      </c>
    </row>
    <row r="405" spans="1:10" x14ac:dyDescent="0.25">
      <c r="A405" s="2">
        <v>45587</v>
      </c>
      <c r="B405" t="s">
        <v>114</v>
      </c>
      <c r="C405" s="6">
        <v>1</v>
      </c>
      <c r="D405" t="s">
        <v>49</v>
      </c>
      <c r="G405" t="s">
        <v>121</v>
      </c>
      <c r="H405">
        <f>VLOOKUP(Tableau65[[#This Row],[Utilisateur]],Tableau3[[Prenoms (ID)]:[Localisation]],2,FALSE)</f>
        <v>0</v>
      </c>
      <c r="I405" t="str">
        <f>VLOOKUP(Tableau65[[#This Row],[Utilisateur]],Tableau3[[Prenoms (ID)]:[Localisation]],3,FALSE)</f>
        <v>Centre</v>
      </c>
      <c r="J405">
        <f>VLOOKUP(Tableau65[[#This Row],[Utilisateur]],Tableau3[[Prenoms (ID)]:[CABINET]],4,FALSE)</f>
        <v>0</v>
      </c>
    </row>
    <row r="406" spans="1:10" x14ac:dyDescent="0.25">
      <c r="A406" s="2">
        <v>45587</v>
      </c>
      <c r="B406" t="s">
        <v>114</v>
      </c>
      <c r="C406" s="6">
        <v>1</v>
      </c>
      <c r="D406" t="s">
        <v>49</v>
      </c>
      <c r="G406" t="s">
        <v>121</v>
      </c>
      <c r="H406">
        <f>VLOOKUP(Tableau65[[#This Row],[Utilisateur]],Tableau3[[Prenoms (ID)]:[Localisation]],2,FALSE)</f>
        <v>0</v>
      </c>
      <c r="I406" t="str">
        <f>VLOOKUP(Tableau65[[#This Row],[Utilisateur]],Tableau3[[Prenoms (ID)]:[Localisation]],3,FALSE)</f>
        <v>Centre</v>
      </c>
      <c r="J406">
        <f>VLOOKUP(Tableau65[[#This Row],[Utilisateur]],Tableau3[[Prenoms (ID)]:[CABINET]],4,FALSE)</f>
        <v>0</v>
      </c>
    </row>
    <row r="407" spans="1:10" x14ac:dyDescent="0.25">
      <c r="A407" s="2">
        <v>45587</v>
      </c>
      <c r="B407" t="s">
        <v>114</v>
      </c>
      <c r="C407" s="6">
        <v>1</v>
      </c>
      <c r="D407" t="s">
        <v>49</v>
      </c>
      <c r="G407" t="s">
        <v>121</v>
      </c>
      <c r="H407">
        <f>VLOOKUP(Tableau65[[#This Row],[Utilisateur]],Tableau3[[Prenoms (ID)]:[Localisation]],2,FALSE)</f>
        <v>0</v>
      </c>
      <c r="I407" t="str">
        <f>VLOOKUP(Tableau65[[#This Row],[Utilisateur]],Tableau3[[Prenoms (ID)]:[Localisation]],3,FALSE)</f>
        <v>Centre</v>
      </c>
      <c r="J407">
        <f>VLOOKUP(Tableau65[[#This Row],[Utilisateur]],Tableau3[[Prenoms (ID)]:[CABINET]],4,FALSE)</f>
        <v>0</v>
      </c>
    </row>
    <row r="408" spans="1:10" x14ac:dyDescent="0.25">
      <c r="A408" s="2">
        <v>45587</v>
      </c>
      <c r="B408" t="s">
        <v>34</v>
      </c>
      <c r="C408" s="6">
        <v>1</v>
      </c>
      <c r="D408" t="s">
        <v>49</v>
      </c>
      <c r="G408" t="s">
        <v>425</v>
      </c>
      <c r="H408" t="str">
        <f>VLOOKUP(Tableau65[[#This Row],[Utilisateur]],Tableau3[[Prenoms (ID)]:[Localisation]],2,FALSE)</f>
        <v>Accefi</v>
      </c>
      <c r="I408" t="str">
        <f>VLOOKUP(Tableau65[[#This Row],[Utilisateur]],Tableau3[[Prenoms (ID)]:[Localisation]],3,FALSE)</f>
        <v>ACCEFI</v>
      </c>
      <c r="J408" t="str">
        <f>VLOOKUP(Tableau65[[#This Row],[Utilisateur]],Tableau3[[Prenoms (ID)]:[CABINET]],4,FALSE)</f>
        <v>CPA</v>
      </c>
    </row>
    <row r="409" spans="1:10" x14ac:dyDescent="0.25">
      <c r="A409" s="2">
        <v>45587</v>
      </c>
      <c r="B409" t="s">
        <v>34</v>
      </c>
      <c r="C409" s="6">
        <v>1</v>
      </c>
      <c r="D409" t="s">
        <v>49</v>
      </c>
      <c r="G409" t="s">
        <v>570</v>
      </c>
      <c r="H409" t="str">
        <f>VLOOKUP(Tableau65[[#This Row],[Utilisateur]],Tableau3[[Prenoms (ID)]:[Localisation]],2,FALSE)</f>
        <v>Eccentive</v>
      </c>
      <c r="I409" t="str">
        <f>VLOOKUP(Tableau65[[#This Row],[Utilisateur]],Tableau3[[Prenoms (ID)]:[Localisation]],3,FALSE)</f>
        <v>LMNP</v>
      </c>
      <c r="J409">
        <f>VLOOKUP(Tableau65[[#This Row],[Utilisateur]],Tableau3[[Prenoms (ID)]:[CABINET]],4,FALSE)</f>
        <v>0</v>
      </c>
    </row>
    <row r="410" spans="1:10" x14ac:dyDescent="0.25">
      <c r="A410" s="2">
        <v>45587</v>
      </c>
      <c r="B410" t="s">
        <v>34</v>
      </c>
      <c r="C410" s="6">
        <v>1</v>
      </c>
      <c r="D410" t="s">
        <v>49</v>
      </c>
      <c r="G410" t="s">
        <v>571</v>
      </c>
      <c r="H410" t="str">
        <f>VLOOKUP(Tableau65[[#This Row],[Utilisateur]],Tableau3[[Prenoms (ID)]:[Localisation]],2,FALSE)</f>
        <v>Admin</v>
      </c>
      <c r="I410" t="str">
        <f>VLOOKUP(Tableau65[[#This Row],[Utilisateur]],Tableau3[[Prenoms (ID)]:[Localisation]],3,FALSE)</f>
        <v>CENTRE</v>
      </c>
      <c r="J410">
        <f>VLOOKUP(Tableau65[[#This Row],[Utilisateur]],Tableau3[[Prenoms (ID)]:[CABINET]],4,FALSE)</f>
        <v>0</v>
      </c>
    </row>
    <row r="411" spans="1:10" x14ac:dyDescent="0.25">
      <c r="A411" s="2">
        <v>45587</v>
      </c>
      <c r="B411" t="s">
        <v>34</v>
      </c>
      <c r="C411" s="6">
        <v>1</v>
      </c>
      <c r="D411" t="s">
        <v>49</v>
      </c>
      <c r="G411" t="s">
        <v>572</v>
      </c>
      <c r="H411" t="str">
        <f>VLOOKUP(Tableau65[[#This Row],[Utilisateur]],Tableau3[[Prenoms (ID)]:[Localisation]],2,FALSE)</f>
        <v>Apprenti</v>
      </c>
      <c r="I411" t="str">
        <f>VLOOKUP(Tableau65[[#This Row],[Utilisateur]],Tableau3[[Prenoms (ID)]:[Localisation]],3,FALSE)</f>
        <v>-</v>
      </c>
      <c r="J411">
        <f>VLOOKUP(Tableau65[[#This Row],[Utilisateur]],Tableau3[[Prenoms (ID)]:[CABINET]],4,FALSE)</f>
        <v>0</v>
      </c>
    </row>
    <row r="412" spans="1:10" ht="30" x14ac:dyDescent="0.25">
      <c r="A412" s="2">
        <v>45587</v>
      </c>
      <c r="B412" t="s">
        <v>28</v>
      </c>
      <c r="C412" s="6">
        <v>1</v>
      </c>
      <c r="E412" s="27" t="s">
        <v>573</v>
      </c>
      <c r="H412" t="e">
        <f>VLOOKUP(Tableau65[[#This Row],[Utilisateur]],Tableau3[[Prenoms (ID)]:[Localisation]],2,FALSE)</f>
        <v>#N/A</v>
      </c>
      <c r="I412" t="e">
        <f>VLOOKUP(Tableau65[[#This Row],[Utilisateur]],Tableau3[[Prenoms (ID)]:[Localisation]],3,FALSE)</f>
        <v>#N/A</v>
      </c>
      <c r="J412" t="e">
        <f>VLOOKUP(Tableau65[[#This Row],[Utilisateur]],Tableau3[[Prenoms (ID)]:[CABINET]],4,FALSE)</f>
        <v>#N/A</v>
      </c>
    </row>
    <row r="413" spans="1:10" x14ac:dyDescent="0.25">
      <c r="A413" s="2">
        <v>45587</v>
      </c>
      <c r="B413" t="s">
        <v>28</v>
      </c>
      <c r="C413" s="6">
        <v>1</v>
      </c>
      <c r="G413" t="s">
        <v>537</v>
      </c>
      <c r="H413" t="str">
        <f>VLOOKUP(Tableau65[[#This Row],[Utilisateur]],Tableau3[[Prenoms (ID)]:[Localisation]],2,FALSE)</f>
        <v>QUALITE</v>
      </c>
      <c r="I413" t="str">
        <f>VLOOKUP(Tableau65[[#This Row],[Utilisateur]],Tableau3[[Prenoms (ID)]:[Localisation]],3,FALSE)</f>
        <v>DIRECTION</v>
      </c>
      <c r="J413" t="str">
        <f>VLOOKUP(Tableau65[[#This Row],[Utilisateur]],Tableau3[[Prenoms (ID)]:[CABINET]],4,FALSE)</f>
        <v>CPA</v>
      </c>
    </row>
    <row r="414" spans="1:10" x14ac:dyDescent="0.25">
      <c r="A414" s="2">
        <v>45587</v>
      </c>
      <c r="B414" t="s">
        <v>61</v>
      </c>
      <c r="C414" s="6">
        <v>1</v>
      </c>
      <c r="G414" t="s">
        <v>27</v>
      </c>
      <c r="H414">
        <f>VLOOKUP(Tableau65[[#This Row],[Utilisateur]],Tableau3[[Prenoms (ID)]:[Localisation]],2,FALSE)</f>
        <v>0</v>
      </c>
      <c r="I414" t="str">
        <f>VLOOKUP(Tableau65[[#This Row],[Utilisateur]],Tableau3[[Prenoms (ID)]:[Localisation]],3,FALSE)</f>
        <v>BIRA</v>
      </c>
      <c r="J414" t="str">
        <f>VLOOKUP(Tableau65[[#This Row],[Utilisateur]],Tableau3[[Prenoms (ID)]:[CABINET]],4,FALSE)</f>
        <v>CPA</v>
      </c>
    </row>
    <row r="415" spans="1:10" x14ac:dyDescent="0.25">
      <c r="A415" s="2">
        <v>45587</v>
      </c>
      <c r="B415" t="s">
        <v>30</v>
      </c>
      <c r="C415" s="6">
        <v>1</v>
      </c>
      <c r="G415" t="s">
        <v>27</v>
      </c>
      <c r="H415">
        <f>VLOOKUP(Tableau65[[#This Row],[Utilisateur]],Tableau3[[Prenoms (ID)]:[Localisation]],2,FALSE)</f>
        <v>0</v>
      </c>
      <c r="I415" t="str">
        <f>VLOOKUP(Tableau65[[#This Row],[Utilisateur]],Tableau3[[Prenoms (ID)]:[Localisation]],3,FALSE)</f>
        <v>BIRA</v>
      </c>
      <c r="J415" t="str">
        <f>VLOOKUP(Tableau65[[#This Row],[Utilisateur]],Tableau3[[Prenoms (ID)]:[CABINET]],4,FALSE)</f>
        <v>CPA</v>
      </c>
    </row>
    <row r="416" spans="1:10" x14ac:dyDescent="0.25">
      <c r="A416" s="2">
        <v>45587</v>
      </c>
      <c r="B416" t="s">
        <v>30</v>
      </c>
      <c r="C416" s="6">
        <v>1</v>
      </c>
      <c r="G416" t="s">
        <v>27</v>
      </c>
      <c r="H416">
        <f>VLOOKUP(Tableau65[[#This Row],[Utilisateur]],Tableau3[[Prenoms (ID)]:[Localisation]],2,FALSE)</f>
        <v>0</v>
      </c>
      <c r="I416" t="str">
        <f>VLOOKUP(Tableau65[[#This Row],[Utilisateur]],Tableau3[[Prenoms (ID)]:[Localisation]],3,FALSE)</f>
        <v>BIRA</v>
      </c>
      <c r="J416" t="str">
        <f>VLOOKUP(Tableau65[[#This Row],[Utilisateur]],Tableau3[[Prenoms (ID)]:[CABINET]],4,FALSE)</f>
        <v>CPA</v>
      </c>
    </row>
    <row r="417" spans="1:10" x14ac:dyDescent="0.25">
      <c r="A417" s="2">
        <v>45587</v>
      </c>
      <c r="B417" t="s">
        <v>30</v>
      </c>
      <c r="C417" s="6">
        <v>1</v>
      </c>
      <c r="G417" t="s">
        <v>376</v>
      </c>
      <c r="H417" t="str">
        <f>VLOOKUP(Tableau65[[#This Row],[Utilisateur]],Tableau3[[Prenoms (ID)]:[Localisation]],2,FALSE)</f>
        <v>Audit CPA</v>
      </c>
      <c r="I417" t="str">
        <f>VLOOKUP(Tableau65[[#This Row],[Utilisateur]],Tableau3[[Prenoms (ID)]:[Localisation]],3,FALSE)</f>
        <v>AUDIT-CPA</v>
      </c>
      <c r="J417" t="str">
        <f>VLOOKUP(Tableau65[[#This Row],[Utilisateur]],Tableau3[[Prenoms (ID)]:[CABINET]],4,FALSE)</f>
        <v>CPA</v>
      </c>
    </row>
    <row r="418" spans="1:10" x14ac:dyDescent="0.25">
      <c r="A418" s="2">
        <v>45587</v>
      </c>
      <c r="B418" t="s">
        <v>96</v>
      </c>
      <c r="C418" s="6">
        <v>1</v>
      </c>
      <c r="G418" t="s">
        <v>68</v>
      </c>
      <c r="H418" t="str">
        <f>VLOOKUP(Tableau65[[#This Row],[Utilisateur]],Tableau3[[Prenoms (ID)]:[Localisation]],2,FALSE)</f>
        <v>Administration</v>
      </c>
      <c r="I418">
        <f>VLOOKUP(Tableau65[[#This Row],[Utilisateur]],Tableau3[[Prenoms (ID)]:[Localisation]],3,FALSE)</f>
        <v>0</v>
      </c>
      <c r="J418">
        <f>VLOOKUP(Tableau65[[#This Row],[Utilisateur]],Tableau3[[Prenoms (ID)]:[CABINET]],4,FALSE)</f>
        <v>0</v>
      </c>
    </row>
    <row r="419" spans="1:10" x14ac:dyDescent="0.25">
      <c r="A419" s="2">
        <v>45587</v>
      </c>
      <c r="B419" t="s">
        <v>52</v>
      </c>
      <c r="C419" s="57">
        <v>1</v>
      </c>
      <c r="D419" t="s">
        <v>49</v>
      </c>
      <c r="G419" t="s">
        <v>574</v>
      </c>
      <c r="H419" s="35" t="str">
        <f>VLOOKUP(Tableau65[[#This Row],[Utilisateur]],Tableau3[[Prenoms (ID)]:[Localisation]],2,FALSE)</f>
        <v>Audit CPA</v>
      </c>
      <c r="I419" s="35" t="str">
        <f>VLOOKUP(Tableau65[[#This Row],[Utilisateur]],Tableau3[[Prenoms (ID)]:[Localisation]],3,FALSE)</f>
        <v>AUDIT-CPA</v>
      </c>
      <c r="J419" s="35" t="str">
        <f>VLOOKUP(Tableau65[[#This Row],[Utilisateur]],Tableau3[[Prenoms (ID)]:[CABINET]],4,FALSE)</f>
        <v>CPA</v>
      </c>
    </row>
    <row r="420" spans="1:10" x14ac:dyDescent="0.25">
      <c r="A420" s="2">
        <v>45587</v>
      </c>
      <c r="B420" t="s">
        <v>25</v>
      </c>
      <c r="C420" s="6">
        <v>1</v>
      </c>
      <c r="D420" t="s">
        <v>49</v>
      </c>
      <c r="G420" t="s">
        <v>537</v>
      </c>
      <c r="H420" s="35" t="str">
        <f>VLOOKUP(Tableau65[[#This Row],[Utilisateur]],Tableau3[[Prenoms (ID)]:[Localisation]],2,FALSE)</f>
        <v>QUALITE</v>
      </c>
      <c r="I420" s="35" t="str">
        <f>VLOOKUP(Tableau65[[#This Row],[Utilisateur]],Tableau3[[Prenoms (ID)]:[Localisation]],3,FALSE)</f>
        <v>DIRECTION</v>
      </c>
      <c r="J420" s="35" t="str">
        <f>VLOOKUP(Tableau65[[#This Row],[Utilisateur]],Tableau3[[Prenoms (ID)]:[CABINET]],4,FALSE)</f>
        <v>CPA</v>
      </c>
    </row>
    <row r="421" spans="1:10" x14ac:dyDescent="0.25">
      <c r="A421" s="2">
        <v>45588</v>
      </c>
      <c r="B421" t="s">
        <v>60</v>
      </c>
      <c r="C421" s="6">
        <v>1</v>
      </c>
      <c r="D421" t="s">
        <v>49</v>
      </c>
      <c r="G421" t="s">
        <v>379</v>
      </c>
      <c r="H421" s="35" t="str">
        <f>VLOOKUP(Tableau65[[#This Row],[Utilisateur]],Tableau3[[Prenoms (ID)]:[Localisation]],2,FALSE)</f>
        <v>Admin</v>
      </c>
      <c r="I421" s="35" t="str">
        <f>VLOOKUP(Tableau65[[#This Row],[Utilisateur]],Tableau3[[Prenoms (ID)]:[Localisation]],3,FALSE)</f>
        <v>DIRECTION</v>
      </c>
      <c r="J421" s="35">
        <f>VLOOKUP(Tableau65[[#This Row],[Utilisateur]],Tableau3[[Prenoms (ID)]:[CABINET]],4,FALSE)</f>
        <v>0</v>
      </c>
    </row>
    <row r="422" spans="1:10" x14ac:dyDescent="0.25">
      <c r="A422" s="2">
        <v>45589</v>
      </c>
      <c r="B422" t="s">
        <v>84</v>
      </c>
      <c r="C422" s="6">
        <v>1</v>
      </c>
      <c r="D422" t="s">
        <v>49</v>
      </c>
      <c r="G422" t="s">
        <v>575</v>
      </c>
      <c r="H422" t="str">
        <f>VLOOKUP(Tableau65[[#This Row],[Utilisateur]],Tableau3[[Prenoms (ID)]:[Localisation]],2,FALSE)</f>
        <v>Xperia</v>
      </c>
      <c r="I422" t="str">
        <f>VLOOKUP(Tableau65[[#This Row],[Utilisateur]],Tableau3[[Prenoms (ID)]:[Localisation]],3,FALSE)</f>
        <v>SOCIAL</v>
      </c>
      <c r="J422">
        <f>VLOOKUP(Tableau65[[#This Row],[Utilisateur]],Tableau3[[Prenoms (ID)]:[CABINET]],4,FALSE)</f>
        <v>0</v>
      </c>
    </row>
    <row r="423" spans="1:10" x14ac:dyDescent="0.25">
      <c r="A423" s="2">
        <v>45589</v>
      </c>
      <c r="B423" t="s">
        <v>58</v>
      </c>
      <c r="C423" s="6">
        <v>1</v>
      </c>
      <c r="D423" t="s">
        <v>49</v>
      </c>
      <c r="G423" t="s">
        <v>575</v>
      </c>
      <c r="H423" t="str">
        <f>VLOOKUP(Tableau65[[#This Row],[Utilisateur]],Tableau3[[Prenoms (ID)]:[Localisation]],2,FALSE)</f>
        <v>Xperia</v>
      </c>
      <c r="I423" t="str">
        <f>VLOOKUP(Tableau65[[#This Row],[Utilisateur]],Tableau3[[Prenoms (ID)]:[Localisation]],3,FALSE)</f>
        <v>SOCIAL</v>
      </c>
      <c r="J423">
        <f>VLOOKUP(Tableau65[[#This Row],[Utilisateur]],Tableau3[[Prenoms (ID)]:[CABINET]],4,FALSE)</f>
        <v>0</v>
      </c>
    </row>
    <row r="424" spans="1:10" x14ac:dyDescent="0.25">
      <c r="A424" s="2">
        <v>45589</v>
      </c>
      <c r="B424" t="s">
        <v>84</v>
      </c>
      <c r="C424" s="6">
        <v>1</v>
      </c>
      <c r="D424" t="s">
        <v>49</v>
      </c>
      <c r="G424" t="s">
        <v>575</v>
      </c>
      <c r="H424" t="str">
        <f>VLOOKUP(Tableau65[[#This Row],[Utilisateur]],Tableau3[[Prenoms (ID)]:[Localisation]],2,FALSE)</f>
        <v>Xperia</v>
      </c>
      <c r="I424" t="str">
        <f>VLOOKUP(Tableau65[[#This Row],[Utilisateur]],Tableau3[[Prenoms (ID)]:[Localisation]],3,FALSE)</f>
        <v>SOCIAL</v>
      </c>
      <c r="J424">
        <f>VLOOKUP(Tableau65[[#This Row],[Utilisateur]],Tableau3[[Prenoms (ID)]:[CABINET]],4,FALSE)</f>
        <v>0</v>
      </c>
    </row>
    <row r="425" spans="1:10" x14ac:dyDescent="0.25">
      <c r="A425" s="2">
        <v>45593</v>
      </c>
      <c r="B425" t="s">
        <v>52</v>
      </c>
      <c r="C425" s="57">
        <v>1</v>
      </c>
      <c r="D425" t="s">
        <v>49</v>
      </c>
      <c r="G425" t="s">
        <v>418</v>
      </c>
      <c r="H425" t="str">
        <f>VLOOKUP(Tableau65[[#This Row],[Utilisateur]],Tableau3[[Prenoms (ID)]:[Localisation]],2,FALSE)</f>
        <v>Audit CPA</v>
      </c>
      <c r="I425" t="str">
        <f>VLOOKUP(Tableau65[[#This Row],[Utilisateur]],Tableau3[[Prenoms (ID)]:[Localisation]],3,FALSE)</f>
        <v>AUDIT-CPA</v>
      </c>
      <c r="J425" t="str">
        <f>VLOOKUP(Tableau65[[#This Row],[Utilisateur]],Tableau3[[Prenoms (ID)]:[CABINET]],4,FALSE)</f>
        <v>CPA</v>
      </c>
    </row>
    <row r="426" spans="1:10" x14ac:dyDescent="0.25">
      <c r="A426" s="2">
        <v>45593</v>
      </c>
      <c r="B426" t="s">
        <v>54</v>
      </c>
      <c r="C426" s="6">
        <v>1</v>
      </c>
      <c r="D426" t="s">
        <v>49</v>
      </c>
      <c r="G426" t="s">
        <v>576</v>
      </c>
      <c r="H426" t="str">
        <f>VLOOKUP(Tableau65[[#This Row],[Utilisateur]],Tableau3[[Prenoms (ID)]:[Localisation]],2,FALSE)</f>
        <v>Audit CPA</v>
      </c>
      <c r="I426" t="str">
        <f>VLOOKUP(Tableau65[[#This Row],[Utilisateur]],Tableau3[[Prenoms (ID)]:[Localisation]],3,FALSE)</f>
        <v>AUDIT-CPA</v>
      </c>
      <c r="J426" t="str">
        <f>VLOOKUP(Tableau65[[#This Row],[Utilisateur]],Tableau3[[Prenoms (ID)]:[CABINET]],4,FALSE)</f>
        <v>CPA</v>
      </c>
    </row>
    <row r="427" spans="1:10" x14ac:dyDescent="0.25">
      <c r="A427" s="2">
        <v>45595</v>
      </c>
      <c r="B427" t="s">
        <v>60</v>
      </c>
      <c r="C427" s="6">
        <v>1</v>
      </c>
      <c r="D427" t="s">
        <v>49</v>
      </c>
      <c r="G427" t="s">
        <v>438</v>
      </c>
      <c r="H427" t="str">
        <f>VLOOKUP(Tableau65[[#This Row],[Utilisateur]],Tableau3[[Prenoms (ID)]:[Localisation]],2,FALSE)</f>
        <v>Optique / Sata</v>
      </c>
      <c r="I427" t="str">
        <f>VLOOKUP(Tableau65[[#This Row],[Utilisateur]],Tableau3[[Prenoms (ID)]:[Localisation]],3,FALSE)</f>
        <v>BNI1</v>
      </c>
      <c r="J427">
        <f>VLOOKUP(Tableau65[[#This Row],[Utilisateur]],Tableau3[[Prenoms (ID)]:[CABINET]],4,FALSE)</f>
        <v>0</v>
      </c>
    </row>
    <row r="428" spans="1:10" x14ac:dyDescent="0.25">
      <c r="A428" s="2">
        <v>45602</v>
      </c>
      <c r="B428" t="s">
        <v>60</v>
      </c>
      <c r="C428" s="6">
        <v>1</v>
      </c>
      <c r="D428" t="s">
        <v>49</v>
      </c>
      <c r="G428" t="s">
        <v>440</v>
      </c>
      <c r="H428" s="35" t="str">
        <f>VLOOKUP(Tableau65[[#This Row],[Utilisateur]],Tableau3[[Prenoms (ID)]:[Localisation]],2,FALSE)</f>
        <v>Audit CPA</v>
      </c>
      <c r="I428" s="35" t="str">
        <f>VLOOKUP(Tableau65[[#This Row],[Utilisateur]],Tableau3[[Prenoms (ID)]:[Localisation]],3,FALSE)</f>
        <v>AUDIT-CPA</v>
      </c>
      <c r="J428" s="35" t="str">
        <f>VLOOKUP(Tableau65[[#This Row],[Utilisateur]],Tableau3[[Prenoms (ID)]:[CABINET]],4,FALSE)</f>
        <v>CPA</v>
      </c>
    </row>
    <row r="429" spans="1:10" x14ac:dyDescent="0.25">
      <c r="A429" s="2">
        <v>45610</v>
      </c>
      <c r="B429" t="s">
        <v>52</v>
      </c>
      <c r="C429" s="57">
        <v>1</v>
      </c>
      <c r="G429" t="s">
        <v>577</v>
      </c>
      <c r="H429" s="35" t="str">
        <f>VLOOKUP(Tableau65[[#This Row],[Utilisateur]],Tableau3[[Prenoms (ID)]:[Localisation]],2,FALSE)</f>
        <v>Audit CPA</v>
      </c>
      <c r="I429" s="35" t="str">
        <f>VLOOKUP(Tableau65[[#This Row],[Utilisateur]],Tableau3[[Prenoms (ID)]:[Localisation]],3,FALSE)</f>
        <v>AUDIT-CPA</v>
      </c>
      <c r="J429" s="35" t="str">
        <f>VLOOKUP(Tableau65[[#This Row],[Utilisateur]],Tableau3[[Prenoms (ID)]:[CABINET]],4,FALSE)</f>
        <v>CPA</v>
      </c>
    </row>
    <row r="430" spans="1:10" ht="17.25" customHeight="1" x14ac:dyDescent="0.25">
      <c r="A430" s="2">
        <v>45610</v>
      </c>
      <c r="B430" t="s">
        <v>60</v>
      </c>
      <c r="C430" s="6">
        <v>1</v>
      </c>
      <c r="D430" t="s">
        <v>49</v>
      </c>
      <c r="G430" t="s">
        <v>578</v>
      </c>
      <c r="H430" s="35" t="str">
        <f>VLOOKUP(Tableau65[[#This Row],[Utilisateur]],Tableau3[[Prenoms (ID)]:[Localisation]],2,FALSE)</f>
        <v>Xperia</v>
      </c>
      <c r="I430" s="35" t="str">
        <f>VLOOKUP(Tableau65[[#This Row],[Utilisateur]],Tableau3[[Prenoms (ID)]:[Localisation]],3,FALSE)</f>
        <v>ARSAC</v>
      </c>
      <c r="J430" s="35">
        <f>VLOOKUP(Tableau65[[#This Row],[Utilisateur]],Tableau3[[Prenoms (ID)]:[CABINET]],4,FALSE)</f>
        <v>0</v>
      </c>
    </row>
    <row r="431" spans="1:10" x14ac:dyDescent="0.25">
      <c r="A431" s="2">
        <v>45611</v>
      </c>
      <c r="B431" t="s">
        <v>52</v>
      </c>
      <c r="C431" s="57">
        <v>1</v>
      </c>
      <c r="D431" t="s">
        <v>49</v>
      </c>
      <c r="G431" t="s">
        <v>579</v>
      </c>
      <c r="H431" t="str">
        <f>VLOOKUP(Tableau65[[#This Row],[Utilisateur]],Tableau3[[Prenoms (ID)]:[Localisation]],2,FALSE)</f>
        <v>Audit CPA</v>
      </c>
      <c r="I431" t="str">
        <f>VLOOKUP(Tableau65[[#This Row],[Utilisateur]],Tableau3[[Prenoms (ID)]:[Localisation]],3,FALSE)</f>
        <v>AUDIT-CPA</v>
      </c>
      <c r="J431" t="str">
        <f>VLOOKUP(Tableau65[[#This Row],[Utilisateur]],Tableau3[[Prenoms (ID)]:[CABINET]],4,FALSE)</f>
        <v>CPA</v>
      </c>
    </row>
    <row r="432" spans="1:10" x14ac:dyDescent="0.25">
      <c r="A432" s="2">
        <v>45611</v>
      </c>
      <c r="B432" t="s">
        <v>52</v>
      </c>
      <c r="C432" s="57">
        <v>1</v>
      </c>
      <c r="D432" t="s">
        <v>49</v>
      </c>
      <c r="G432" t="s">
        <v>319</v>
      </c>
      <c r="H432" t="str">
        <f>VLOOKUP(Tableau65[[#This Row],[Utilisateur]],Tableau3[[Prenoms (ID)]:[Localisation]],2,FALSE)</f>
        <v>Xperia</v>
      </c>
      <c r="I432" t="str">
        <f>VLOOKUP(Tableau65[[#This Row],[Utilisateur]],Tableau3[[Prenoms (ID)]:[Localisation]],3,FALSE)</f>
        <v>SOCIAL</v>
      </c>
      <c r="J432">
        <f>VLOOKUP(Tableau65[[#This Row],[Utilisateur]],Tableau3[[Prenoms (ID)]:[CABINET]],4,FALSE)</f>
        <v>0</v>
      </c>
    </row>
    <row r="433" spans="1:10" x14ac:dyDescent="0.25">
      <c r="A433" s="2">
        <v>45611</v>
      </c>
      <c r="B433" t="s">
        <v>52</v>
      </c>
      <c r="C433" s="57">
        <v>1</v>
      </c>
      <c r="G433" t="s">
        <v>580</v>
      </c>
      <c r="H433" s="35" t="str">
        <f>VLOOKUP(Tableau65[[#This Row],[Utilisateur]],Tableau3[[Prenoms (ID)]:[Localisation]],2,FALSE)</f>
        <v>Info</v>
      </c>
      <c r="I433" s="35" t="str">
        <f>VLOOKUP(Tableau65[[#This Row],[Utilisateur]],Tableau3[[Prenoms (ID)]:[Localisation]],3,FALSE)</f>
        <v>Informatique</v>
      </c>
      <c r="J433" s="35">
        <f>VLOOKUP(Tableau65[[#This Row],[Utilisateur]],Tableau3[[Prenoms (ID)]:[CABINET]],4,FALSE)</f>
        <v>0</v>
      </c>
    </row>
    <row r="434" spans="1:10" x14ac:dyDescent="0.25">
      <c r="A434" s="2">
        <v>45611</v>
      </c>
      <c r="B434" t="s">
        <v>52</v>
      </c>
      <c r="C434" s="57">
        <v>1</v>
      </c>
      <c r="D434" t="s">
        <v>49</v>
      </c>
      <c r="G434" t="s">
        <v>581</v>
      </c>
      <c r="H434" t="str">
        <f>VLOOKUP(Tableau65[[#This Row],[Utilisateur]],Tableau3[[Prenoms (ID)]:[Localisation]],2,FALSE)</f>
        <v>Apprenti</v>
      </c>
      <c r="I434" t="str">
        <f>VLOOKUP(Tableau65[[#This Row],[Utilisateur]],Tableau3[[Prenoms (ID)]:[Localisation]],3,FALSE)</f>
        <v>-</v>
      </c>
      <c r="J434">
        <f>VLOOKUP(Tableau65[[#This Row],[Utilisateur]],Tableau3[[Prenoms (ID)]:[CABINET]],4,FALSE)</f>
        <v>0</v>
      </c>
    </row>
    <row r="435" spans="1:10" x14ac:dyDescent="0.25">
      <c r="A435" s="2">
        <v>45611</v>
      </c>
      <c r="B435" t="s">
        <v>52</v>
      </c>
      <c r="C435" s="57">
        <v>1</v>
      </c>
      <c r="D435" t="s">
        <v>49</v>
      </c>
      <c r="G435" t="s">
        <v>582</v>
      </c>
      <c r="H435" t="str">
        <f>VLOOKUP(Tableau65[[#This Row],[Utilisateur]],Tableau3[[Prenoms (ID)]:[Localisation]],2,FALSE)</f>
        <v>XPERIA</v>
      </c>
      <c r="I435" t="str">
        <f>VLOOKUP(Tableau65[[#This Row],[Utilisateur]],Tableau3[[Prenoms (ID)]:[Localisation]],3,FALSE)</f>
        <v>BNI1</v>
      </c>
      <c r="J435">
        <f>VLOOKUP(Tableau65[[#This Row],[Utilisateur]],Tableau3[[Prenoms (ID)]:[CABINET]],4,FALSE)</f>
        <v>0</v>
      </c>
    </row>
    <row r="436" spans="1:10" x14ac:dyDescent="0.25">
      <c r="A436" s="2">
        <v>45611</v>
      </c>
      <c r="B436" t="s">
        <v>52</v>
      </c>
      <c r="C436" s="57">
        <v>1</v>
      </c>
      <c r="D436" t="s">
        <v>49</v>
      </c>
      <c r="G436" t="s">
        <v>583</v>
      </c>
      <c r="H436" t="str">
        <f>VLOOKUP(Tableau65[[#This Row],[Utilisateur]],Tableau3[[Prenoms (ID)]:[Localisation]],2,FALSE)</f>
        <v>Xperia</v>
      </c>
      <c r="I436" t="str">
        <f>VLOOKUP(Tableau65[[#This Row],[Utilisateur]],Tableau3[[Prenoms (ID)]:[Localisation]],3,FALSE)</f>
        <v>ARSAC</v>
      </c>
      <c r="J436">
        <f>VLOOKUP(Tableau65[[#This Row],[Utilisateur]],Tableau3[[Prenoms (ID)]:[CABINET]],4,FALSE)</f>
        <v>0</v>
      </c>
    </row>
    <row r="437" spans="1:10" x14ac:dyDescent="0.25">
      <c r="A437" s="2">
        <v>45615</v>
      </c>
      <c r="B437" t="s">
        <v>52</v>
      </c>
      <c r="C437" s="57">
        <v>1</v>
      </c>
      <c r="D437" t="s">
        <v>49</v>
      </c>
      <c r="G437" t="s">
        <v>584</v>
      </c>
      <c r="H437" t="str">
        <f>VLOOKUP(Tableau65[[#This Row],[Utilisateur]],Tableau3[[Prenoms (ID)]:[Localisation]],2,FALSE)</f>
        <v>Paie</v>
      </c>
      <c r="I437" t="str">
        <f>VLOOKUP(Tableau65[[#This Row],[Utilisateur]],Tableau3[[Prenoms (ID)]:[Localisation]],3,FALSE)</f>
        <v>SOCIAL</v>
      </c>
      <c r="J437">
        <f>VLOOKUP(Tableau65[[#This Row],[Utilisateur]],Tableau3[[Prenoms (ID)]:[CABINET]],4,FALSE)</f>
        <v>0</v>
      </c>
    </row>
    <row r="438" spans="1:10" x14ac:dyDescent="0.25">
      <c r="A438" s="2">
        <v>45615</v>
      </c>
      <c r="B438" t="s">
        <v>52</v>
      </c>
      <c r="C438" s="57">
        <v>1</v>
      </c>
      <c r="D438" t="s">
        <v>49</v>
      </c>
      <c r="G438" t="s">
        <v>585</v>
      </c>
      <c r="H438" t="str">
        <f>VLOOKUP(Tableau65[[#This Row],[Utilisateur]],Tableau3[[Prenoms (ID)]:[Localisation]],2,FALSE)</f>
        <v>Audit CPA</v>
      </c>
      <c r="I438" t="str">
        <f>VLOOKUP(Tableau65[[#This Row],[Utilisateur]],Tableau3[[Prenoms (ID)]:[Localisation]],3,FALSE)</f>
        <v>AUDIT-CPA</v>
      </c>
      <c r="J438" t="str">
        <f>VLOOKUP(Tableau65[[#This Row],[Utilisateur]],Tableau3[[Prenoms (ID)]:[CABINET]],4,FALSE)</f>
        <v>CPA</v>
      </c>
    </row>
    <row r="439" spans="1:10" x14ac:dyDescent="0.25">
      <c r="A439" s="2">
        <v>45615</v>
      </c>
      <c r="B439" t="s">
        <v>52</v>
      </c>
      <c r="C439" s="57">
        <v>1</v>
      </c>
      <c r="D439" t="s">
        <v>49</v>
      </c>
      <c r="G439" t="s">
        <v>586</v>
      </c>
      <c r="H439" t="str">
        <f>VLOOKUP(Tableau65[[#This Row],[Utilisateur]],Tableau3[[Prenoms (ID)]:[Localisation]],2,FALSE)</f>
        <v>Apprenti</v>
      </c>
      <c r="I439" t="str">
        <f>VLOOKUP(Tableau65[[#This Row],[Utilisateur]],Tableau3[[Prenoms (ID)]:[Localisation]],3,FALSE)</f>
        <v>-</v>
      </c>
      <c r="J439">
        <f>VLOOKUP(Tableau65[[#This Row],[Utilisateur]],Tableau3[[Prenoms (ID)]:[CABINET]],4,FALSE)</f>
        <v>0</v>
      </c>
    </row>
    <row r="440" spans="1:10" x14ac:dyDescent="0.25">
      <c r="A440" s="2">
        <v>45616</v>
      </c>
      <c r="B440" t="s">
        <v>52</v>
      </c>
      <c r="C440" s="57">
        <v>1</v>
      </c>
      <c r="G440" t="s">
        <v>356</v>
      </c>
      <c r="H440" s="35" t="str">
        <f>VLOOKUP(Tableau65[[#This Row],[Utilisateur]],Tableau3[[Prenoms (ID)]:[Localisation]],2,FALSE)</f>
        <v>Audit CPA</v>
      </c>
      <c r="I440" s="35" t="str">
        <f>VLOOKUP(Tableau65[[#This Row],[Utilisateur]],Tableau3[[Prenoms (ID)]:[Localisation]],3,FALSE)</f>
        <v>AUDIT-CPA</v>
      </c>
      <c r="J440" s="35" t="str">
        <f>VLOOKUP(Tableau65[[#This Row],[Utilisateur]],Tableau3[[Prenoms (ID)]:[CABINET]],4,FALSE)</f>
        <v>CPA</v>
      </c>
    </row>
    <row r="441" spans="1:10" x14ac:dyDescent="0.25">
      <c r="A441" s="2">
        <v>45616</v>
      </c>
      <c r="B441" t="s">
        <v>114</v>
      </c>
      <c r="C441" s="6">
        <v>1</v>
      </c>
      <c r="E441" t="s">
        <v>587</v>
      </c>
      <c r="G441" t="s">
        <v>252</v>
      </c>
      <c r="H441">
        <f>VLOOKUP(Tableau65[[#This Row],[Utilisateur]],Tableau3[[Prenoms (ID)]:[Localisation]],2,FALSE)</f>
        <v>0</v>
      </c>
      <c r="I441" t="str">
        <f>VLOOKUP(Tableau65[[#This Row],[Utilisateur]],Tableau3[[Prenoms (ID)]:[Localisation]],3,FALSE)</f>
        <v>BNI</v>
      </c>
      <c r="J441" t="str">
        <f>VLOOKUP(Tableau65[[#This Row],[Utilisateur]],Tableau3[[Prenoms (ID)]:[CABINET]],4,FALSE)</f>
        <v>RFC</v>
      </c>
    </row>
    <row r="442" spans="1:10" x14ac:dyDescent="0.25">
      <c r="A442" s="2">
        <v>45616</v>
      </c>
      <c r="B442" t="s">
        <v>114</v>
      </c>
      <c r="C442" s="6">
        <v>1</v>
      </c>
      <c r="E442" t="s">
        <v>26</v>
      </c>
      <c r="H442" t="e">
        <f>VLOOKUP(Tableau65[[#This Row],[Utilisateur]],Tableau3[[Prenoms (ID)]:[Localisation]],2,FALSE)</f>
        <v>#N/A</v>
      </c>
      <c r="I442" t="e">
        <f>VLOOKUP(Tableau65[[#This Row],[Utilisateur]],Tableau3[[Prenoms (ID)]:[Localisation]],3,FALSE)</f>
        <v>#N/A</v>
      </c>
      <c r="J442" t="e">
        <f>VLOOKUP(Tableau65[[#This Row],[Utilisateur]],Tableau3[[Prenoms (ID)]:[CABINET]],4,FALSE)</f>
        <v>#N/A</v>
      </c>
    </row>
    <row r="443" spans="1:10" x14ac:dyDescent="0.25">
      <c r="A443" s="2">
        <v>45616</v>
      </c>
      <c r="B443" t="s">
        <v>114</v>
      </c>
      <c r="C443" s="6">
        <v>1</v>
      </c>
      <c r="E443" t="s">
        <v>588</v>
      </c>
      <c r="H443" t="e">
        <f>VLOOKUP(Tableau65[[#This Row],[Utilisateur]],Tableau3[[Prenoms (ID)]:[Localisation]],2,FALSE)</f>
        <v>#N/A</v>
      </c>
      <c r="I443" t="e">
        <f>VLOOKUP(Tableau65[[#This Row],[Utilisateur]],Tableau3[[Prenoms (ID)]:[Localisation]],3,FALSE)</f>
        <v>#N/A</v>
      </c>
      <c r="J443" t="e">
        <f>VLOOKUP(Tableau65[[#This Row],[Utilisateur]],Tableau3[[Prenoms (ID)]:[CABINET]],4,FALSE)</f>
        <v>#N/A</v>
      </c>
    </row>
    <row r="444" spans="1:10" x14ac:dyDescent="0.25">
      <c r="A444" s="2">
        <v>45617</v>
      </c>
      <c r="B444" t="s">
        <v>52</v>
      </c>
      <c r="C444" s="57">
        <v>1</v>
      </c>
      <c r="D444" t="s">
        <v>49</v>
      </c>
      <c r="G444" t="s">
        <v>454</v>
      </c>
      <c r="H444" t="str">
        <f>VLOOKUP(Tableau65[[#This Row],[Utilisateur]],Tableau3[[Prenoms (ID)]:[Localisation]],2,FALSE)</f>
        <v>Xperia</v>
      </c>
      <c r="I444" t="str">
        <f>VLOOKUP(Tableau65[[#This Row],[Utilisateur]],Tableau3[[Prenoms (ID)]:[Localisation]],3,FALSE)</f>
        <v>ARSAC</v>
      </c>
      <c r="J444">
        <f>VLOOKUP(Tableau65[[#This Row],[Utilisateur]],Tableau3[[Prenoms (ID)]:[CABINET]],4,FALSE)</f>
        <v>0</v>
      </c>
    </row>
    <row r="445" spans="1:10" x14ac:dyDescent="0.25">
      <c r="A445" s="2">
        <v>45617</v>
      </c>
      <c r="B445" t="s">
        <v>52</v>
      </c>
      <c r="C445" s="57">
        <v>1</v>
      </c>
      <c r="D445" t="s">
        <v>49</v>
      </c>
      <c r="G445" t="s">
        <v>483</v>
      </c>
      <c r="H445" t="str">
        <f>VLOOKUP(Tableau65[[#This Row],[Utilisateur]],Tableau3[[Prenoms (ID)]:[Localisation]],2,FALSE)</f>
        <v>Optique / Sata</v>
      </c>
      <c r="I445" t="str">
        <f>VLOOKUP(Tableau65[[#This Row],[Utilisateur]],Tableau3[[Prenoms (ID)]:[Localisation]],3,FALSE)</f>
        <v>BNI1</v>
      </c>
      <c r="J445">
        <f>VLOOKUP(Tableau65[[#This Row],[Utilisateur]],Tableau3[[Prenoms (ID)]:[CABINET]],4,FALSE)</f>
        <v>0</v>
      </c>
    </row>
    <row r="446" spans="1:10" x14ac:dyDescent="0.25">
      <c r="A446" s="2">
        <v>45617</v>
      </c>
      <c r="B446" t="s">
        <v>52</v>
      </c>
      <c r="C446" s="57">
        <v>1</v>
      </c>
      <c r="D446" t="s">
        <v>49</v>
      </c>
      <c r="G446" t="s">
        <v>505</v>
      </c>
      <c r="H446" t="str">
        <f>VLOOKUP(Tableau65[[#This Row],[Utilisateur]],Tableau3[[Prenoms (ID)]:[Localisation]],2,FALSE)</f>
        <v>Cecca rueil</v>
      </c>
      <c r="I446" t="str">
        <f>VLOOKUP(Tableau65[[#This Row],[Utilisateur]],Tableau3[[Prenoms (ID)]:[Localisation]],3,FALSE)</f>
        <v>BNI1</v>
      </c>
      <c r="J446">
        <f>VLOOKUP(Tableau65[[#This Row],[Utilisateur]],Tableau3[[Prenoms (ID)]:[CABINET]],4,FALSE)</f>
        <v>0</v>
      </c>
    </row>
    <row r="447" spans="1:10" x14ac:dyDescent="0.25">
      <c r="A447" s="2">
        <v>45617</v>
      </c>
      <c r="B447" t="s">
        <v>52</v>
      </c>
      <c r="C447" s="57">
        <v>1</v>
      </c>
      <c r="D447" t="s">
        <v>49</v>
      </c>
      <c r="G447" t="s">
        <v>589</v>
      </c>
      <c r="H447" t="str">
        <f>VLOOKUP(Tableau65[[#This Row],[Utilisateur]],Tableau3[[Prenoms (ID)]:[Localisation]],2,FALSE)</f>
        <v>Optique / Sata</v>
      </c>
      <c r="I447" t="str">
        <f>VLOOKUP(Tableau65[[#This Row],[Utilisateur]],Tableau3[[Prenoms (ID)]:[Localisation]],3,FALSE)</f>
        <v>BNI1</v>
      </c>
      <c r="J447">
        <f>VLOOKUP(Tableau65[[#This Row],[Utilisateur]],Tableau3[[Prenoms (ID)]:[CABINET]],4,FALSE)</f>
        <v>0</v>
      </c>
    </row>
    <row r="448" spans="1:10" x14ac:dyDescent="0.25">
      <c r="A448" s="2">
        <v>45617</v>
      </c>
      <c r="B448" t="s">
        <v>60</v>
      </c>
      <c r="C448" s="6">
        <v>1</v>
      </c>
      <c r="D448" t="s">
        <v>49</v>
      </c>
      <c r="G448" t="s">
        <v>335</v>
      </c>
      <c r="H448" t="str">
        <f>VLOOKUP(Tableau65[[#This Row],[Utilisateur]],Tableau3[[Prenoms (ID)]:[Localisation]],2,FALSE)</f>
        <v>Admin</v>
      </c>
      <c r="I448" t="str">
        <f>VLOOKUP(Tableau65[[#This Row],[Utilisateur]],Tableau3[[Prenoms (ID)]:[Localisation]],3,FALSE)</f>
        <v>DIRECTION</v>
      </c>
      <c r="J448">
        <f>VLOOKUP(Tableau65[[#This Row],[Utilisateur]],Tableau3[[Prenoms (ID)]:[CABINET]],4,FALSE)</f>
        <v>0</v>
      </c>
    </row>
    <row r="449" spans="1:13" x14ac:dyDescent="0.25">
      <c r="A449" s="2">
        <v>45618</v>
      </c>
      <c r="B449" t="s">
        <v>18</v>
      </c>
      <c r="C449" s="6">
        <v>150</v>
      </c>
      <c r="D449" t="s">
        <v>129</v>
      </c>
      <c r="G449" t="s">
        <v>71</v>
      </c>
      <c r="H449">
        <f>VLOOKUP(Tableau65[[#This Row],[Utilisateur]],Tableau3[[Prenoms (ID)]:[Localisation]],2,FALSE)</f>
        <v>0</v>
      </c>
      <c r="I449" t="str">
        <f>VLOOKUP(Tableau65[[#This Row],[Utilisateur]],Tableau3[[Prenoms (ID)]:[Localisation]],3,FALSE)</f>
        <v>MADAFIT</v>
      </c>
      <c r="J449" t="str">
        <f>VLOOKUP(Tableau65[[#This Row],[Utilisateur]],Tableau3[[Prenoms (ID)]:[CABINET]],4,FALSE)</f>
        <v>CPA</v>
      </c>
      <c r="M449" t="s">
        <v>130</v>
      </c>
    </row>
    <row r="450" spans="1:13" x14ac:dyDescent="0.25">
      <c r="A450" s="2">
        <v>45618</v>
      </c>
      <c r="B450" t="s">
        <v>18</v>
      </c>
      <c r="C450" s="6">
        <v>150</v>
      </c>
      <c r="D450" t="s">
        <v>129</v>
      </c>
      <c r="G450" t="s">
        <v>286</v>
      </c>
      <c r="H450">
        <f>VLOOKUP(Tableau65[[#This Row],[Utilisateur]],Tableau3[[Prenoms (ID)]:[Localisation]],2,FALSE)</f>
        <v>0</v>
      </c>
      <c r="I450" t="str">
        <f>VLOOKUP(Tableau65[[#This Row],[Utilisateur]],Tableau3[[Prenoms (ID)]:[Localisation]],3,FALSE)</f>
        <v>MADAFIT</v>
      </c>
      <c r="J450" t="str">
        <f>VLOOKUP(Tableau65[[#This Row],[Utilisateur]],Tableau3[[Prenoms (ID)]:[CABINET]],4,FALSE)</f>
        <v>RFC</v>
      </c>
      <c r="M450" t="s">
        <v>130</v>
      </c>
    </row>
    <row r="451" spans="1:13" x14ac:dyDescent="0.25">
      <c r="A451" s="2">
        <v>45621</v>
      </c>
      <c r="B451" t="s">
        <v>22</v>
      </c>
      <c r="C451" s="6">
        <v>6</v>
      </c>
      <c r="E451" t="s">
        <v>132</v>
      </c>
      <c r="H451" t="e">
        <f>VLOOKUP(Tableau65[[#This Row],[Utilisateur]],Tableau3[[Prenoms (ID)]:[Localisation]],2,FALSE)</f>
        <v>#N/A</v>
      </c>
      <c r="I451" t="e">
        <f>VLOOKUP(Tableau65[[#This Row],[Utilisateur]],Tableau3[[Prenoms (ID)]:[Localisation]],3,FALSE)</f>
        <v>#N/A</v>
      </c>
      <c r="J451" t="e">
        <f>VLOOKUP(Tableau65[[#This Row],[Utilisateur]],Tableau3[[Prenoms (ID)]:[CABINET]],4,FALSE)</f>
        <v>#N/A</v>
      </c>
    </row>
    <row r="452" spans="1:13" x14ac:dyDescent="0.25">
      <c r="A452" s="2">
        <v>45621</v>
      </c>
      <c r="B452" t="s">
        <v>28</v>
      </c>
      <c r="C452" s="6">
        <v>1</v>
      </c>
      <c r="E452" t="s">
        <v>590</v>
      </c>
      <c r="G452" t="s">
        <v>443</v>
      </c>
      <c r="H452" t="str">
        <f>VLOOKUP(Tableau65[[#This Row],[Utilisateur]],Tableau3[[Prenoms (ID)]:[Localisation]],2,FALSE)</f>
        <v>Eccentive</v>
      </c>
      <c r="I452" t="str">
        <f>VLOOKUP(Tableau65[[#This Row],[Utilisateur]],Tableau3[[Prenoms (ID)]:[Localisation]],3,FALSE)</f>
        <v>ECCENTIVE</v>
      </c>
      <c r="J452">
        <f>VLOOKUP(Tableau65[[#This Row],[Utilisateur]],Tableau3[[Prenoms (ID)]:[CABINET]],4,FALSE)</f>
        <v>0</v>
      </c>
    </row>
    <row r="453" spans="1:13" x14ac:dyDescent="0.25">
      <c r="A453" s="2">
        <v>45621</v>
      </c>
      <c r="B453" t="s">
        <v>28</v>
      </c>
      <c r="C453" s="6">
        <v>1</v>
      </c>
      <c r="G453" t="s">
        <v>508</v>
      </c>
      <c r="H453" t="str">
        <f>VLOOKUP(Tableau65[[#This Row],[Utilisateur]],Tableau3[[Prenoms (ID)]:[Localisation]],2,FALSE)</f>
        <v>Optique / Mirado</v>
      </c>
      <c r="I453" t="str">
        <f>VLOOKUP(Tableau65[[#This Row],[Utilisateur]],Tableau3[[Prenoms (ID)]:[Localisation]],3,FALSE)</f>
        <v>BNI1</v>
      </c>
      <c r="J453">
        <f>VLOOKUP(Tableau65[[#This Row],[Utilisateur]],Tableau3[[Prenoms (ID)]:[CABINET]],4,FALSE)</f>
        <v>0</v>
      </c>
    </row>
    <row r="454" spans="1:13" x14ac:dyDescent="0.25">
      <c r="A454" s="2">
        <v>45621</v>
      </c>
      <c r="B454" t="s">
        <v>28</v>
      </c>
      <c r="C454" s="6">
        <v>1</v>
      </c>
      <c r="G454" t="s">
        <v>390</v>
      </c>
      <c r="H454" t="str">
        <f>VLOOKUP(Tableau65[[#This Row],[Utilisateur]],Tableau3[[Prenoms (ID)]:[Localisation]],2,FALSE)</f>
        <v>Audit CPA</v>
      </c>
      <c r="I454" t="str">
        <f>VLOOKUP(Tableau65[[#This Row],[Utilisateur]],Tableau3[[Prenoms (ID)]:[Localisation]],3,FALSE)</f>
        <v>AUDIT-CPA</v>
      </c>
      <c r="J454" t="str">
        <f>VLOOKUP(Tableau65[[#This Row],[Utilisateur]],Tableau3[[Prenoms (ID)]:[CABINET]],4,FALSE)</f>
        <v>CPA</v>
      </c>
    </row>
    <row r="455" spans="1:13" x14ac:dyDescent="0.25">
      <c r="A455" s="2">
        <v>45621</v>
      </c>
      <c r="B455" t="s">
        <v>28</v>
      </c>
      <c r="C455" s="6">
        <v>1</v>
      </c>
      <c r="G455" t="s">
        <v>591</v>
      </c>
      <c r="H455" t="str">
        <f>VLOOKUP(Tableau65[[#This Row],[Utilisateur]],Tableau3[[Prenoms (ID)]:[Localisation]],2,FALSE)</f>
        <v>ND</v>
      </c>
      <c r="I455" t="str">
        <f>VLOOKUP(Tableau65[[#This Row],[Utilisateur]],Tableau3[[Prenoms (ID)]:[Localisation]],3,FALSE)</f>
        <v>MADAFIT</v>
      </c>
      <c r="J455">
        <f>VLOOKUP(Tableau65[[#This Row],[Utilisateur]],Tableau3[[Prenoms (ID)]:[CABINET]],4,FALSE)</f>
        <v>0</v>
      </c>
    </row>
    <row r="456" spans="1:13" x14ac:dyDescent="0.25">
      <c r="A456" s="2">
        <v>45623</v>
      </c>
      <c r="B456" t="s">
        <v>52</v>
      </c>
      <c r="C456" s="57">
        <v>1</v>
      </c>
      <c r="D456" t="s">
        <v>49</v>
      </c>
      <c r="G456" t="s">
        <v>334</v>
      </c>
      <c r="H456" t="str">
        <f>VLOOKUP(Tableau65[[#This Row],[Utilisateur]],Tableau3[[Prenoms (ID)]:[Localisation]],2,FALSE)</f>
        <v>Optique / Mirado</v>
      </c>
      <c r="I456" t="str">
        <f>VLOOKUP(Tableau65[[#This Row],[Utilisateur]],Tableau3[[Prenoms (ID)]:[Localisation]],3,FALSE)</f>
        <v>BNI1</v>
      </c>
      <c r="J456">
        <f>VLOOKUP(Tableau65[[#This Row],[Utilisateur]],Tableau3[[Prenoms (ID)]:[CABINET]],4,FALSE)</f>
        <v>0</v>
      </c>
    </row>
    <row r="457" spans="1:13" x14ac:dyDescent="0.25">
      <c r="A457" s="2">
        <v>45623</v>
      </c>
      <c r="B457" t="s">
        <v>52</v>
      </c>
      <c r="C457" s="57">
        <v>1</v>
      </c>
      <c r="D457" t="s">
        <v>49</v>
      </c>
      <c r="G457" t="s">
        <v>395</v>
      </c>
      <c r="H457" t="str">
        <f>VLOOKUP(Tableau65[[#This Row],[Utilisateur]],Tableau3[[Prenoms (ID)]:[Localisation]],2,FALSE)</f>
        <v>RECCI SAV</v>
      </c>
      <c r="I457" t="str">
        <f>VLOOKUP(Tableau65[[#This Row],[Utilisateur]],Tableau3[[Prenoms (ID)]:[Localisation]],3,FALSE)</f>
        <v>BNI2</v>
      </c>
      <c r="J457">
        <f>VLOOKUP(Tableau65[[#This Row],[Utilisateur]],Tableau3[[Prenoms (ID)]:[CABINET]],4,FALSE)</f>
        <v>0</v>
      </c>
    </row>
    <row r="458" spans="1:13" x14ac:dyDescent="0.25">
      <c r="A458" s="2">
        <v>45624</v>
      </c>
      <c r="B458" t="s">
        <v>52</v>
      </c>
      <c r="C458" s="57">
        <v>1</v>
      </c>
      <c r="D458" t="s">
        <v>49</v>
      </c>
      <c r="G458" t="s">
        <v>421</v>
      </c>
      <c r="H458" t="str">
        <f>VLOOKUP(Tableau65[[#This Row],[Utilisateur]],Tableau3[[Prenoms (ID)]:[Localisation]],2,FALSE)</f>
        <v>Info/Dev</v>
      </c>
      <c r="I458" t="str">
        <f>VLOOKUP(Tableau65[[#This Row],[Utilisateur]],Tableau3[[Prenoms (ID)]:[Localisation]],3,FALSE)</f>
        <v>Informatique</v>
      </c>
      <c r="J458">
        <f>VLOOKUP(Tableau65[[#This Row],[Utilisateur]],Tableau3[[Prenoms (ID)]:[CABINET]],4,FALSE)</f>
        <v>0</v>
      </c>
    </row>
    <row r="459" spans="1:13" x14ac:dyDescent="0.25">
      <c r="A459" s="2">
        <v>45499</v>
      </c>
      <c r="B459" t="s">
        <v>24</v>
      </c>
      <c r="C459" s="6">
        <v>1</v>
      </c>
      <c r="D459" t="s">
        <v>49</v>
      </c>
      <c r="G459" t="s">
        <v>551</v>
      </c>
      <c r="H459" t="str">
        <f>VLOOKUP(Tableau65[[#This Row],[Utilisateur]],Tableau3[[Prenoms (ID)]:[Localisation]],2,FALSE)</f>
        <v>FEDIS</v>
      </c>
      <c r="I459" t="str">
        <f>VLOOKUP(Tableau65[[#This Row],[Utilisateur]],Tableau3[[Prenoms (ID)]:[Localisation]],3,FALSE)</f>
        <v>DEV</v>
      </c>
      <c r="J459">
        <f>VLOOKUP(Tableau65[[#This Row],[Utilisateur]],Tableau3[[Prenoms (ID)]:[CABINET]],4,FALSE)</f>
        <v>0</v>
      </c>
    </row>
    <row r="460" spans="1:13" x14ac:dyDescent="0.25">
      <c r="A460" s="2">
        <v>45628</v>
      </c>
      <c r="B460" t="s">
        <v>52</v>
      </c>
      <c r="C460" s="57">
        <v>1</v>
      </c>
      <c r="D460" t="s">
        <v>49</v>
      </c>
      <c r="G460" t="s">
        <v>383</v>
      </c>
      <c r="H460" t="str">
        <f>VLOOKUP(Tableau65[[#This Row],[Utilisateur]],Tableau3[[Prenoms (ID)]:[Localisation]],2,FALSE)</f>
        <v>RECCI SAV</v>
      </c>
      <c r="I460" t="str">
        <f>VLOOKUP(Tableau65[[#This Row],[Utilisateur]],Tableau3[[Prenoms (ID)]:[Localisation]],3,FALSE)</f>
        <v>BNI2</v>
      </c>
      <c r="J460">
        <f>VLOOKUP(Tableau65[[#This Row],[Utilisateur]],Tableau3[[Prenoms (ID)]:[CABINET]],4,FALSE)</f>
        <v>0</v>
      </c>
    </row>
    <row r="461" spans="1:13" x14ac:dyDescent="0.25">
      <c r="A461" s="2">
        <v>45544</v>
      </c>
      <c r="B461" t="s">
        <v>24</v>
      </c>
      <c r="C461" s="6">
        <v>1</v>
      </c>
      <c r="D461" t="s">
        <v>49</v>
      </c>
      <c r="G461" t="s">
        <v>87</v>
      </c>
      <c r="H461" t="str">
        <f>VLOOKUP(Tableau65[[#This Row],[Utilisateur]],Tableau3[[Prenoms (ID)]:[Localisation]],2,FALSE)</f>
        <v>Accefi</v>
      </c>
      <c r="I461" t="str">
        <f>VLOOKUP(Tableau65[[#This Row],[Utilisateur]],Tableau3[[Prenoms (ID)]:[Localisation]],3,FALSE)</f>
        <v>ACCEFI</v>
      </c>
      <c r="J461" t="str">
        <f>VLOOKUP(Tableau65[[#This Row],[Utilisateur]],Tableau3[[Prenoms (ID)]:[CABINET]],4,FALSE)</f>
        <v>CPA</v>
      </c>
    </row>
    <row r="462" spans="1:13" x14ac:dyDescent="0.25">
      <c r="A462" s="2">
        <v>45544</v>
      </c>
      <c r="B462" t="s">
        <v>24</v>
      </c>
      <c r="C462" s="6">
        <v>1</v>
      </c>
      <c r="D462" t="s">
        <v>49</v>
      </c>
      <c r="G462" t="s">
        <v>537</v>
      </c>
      <c r="H462" t="str">
        <f>VLOOKUP(Tableau65[[#This Row],[Utilisateur]],Tableau3[[Prenoms (ID)]:[Localisation]],2,FALSE)</f>
        <v>QUALITE</v>
      </c>
      <c r="I462" t="str">
        <f>VLOOKUP(Tableau65[[#This Row],[Utilisateur]],Tableau3[[Prenoms (ID)]:[Localisation]],3,FALSE)</f>
        <v>DIRECTION</v>
      </c>
      <c r="J462" t="str">
        <f>VLOOKUP(Tableau65[[#This Row],[Utilisateur]],Tableau3[[Prenoms (ID)]:[CABINET]],4,FALSE)</f>
        <v>CPA</v>
      </c>
    </row>
    <row r="463" spans="1:13" x14ac:dyDescent="0.25">
      <c r="A463" s="2">
        <v>45628</v>
      </c>
      <c r="B463" t="s">
        <v>84</v>
      </c>
      <c r="C463" s="6">
        <v>1</v>
      </c>
      <c r="D463" t="s">
        <v>49</v>
      </c>
      <c r="G463" t="s">
        <v>316</v>
      </c>
      <c r="H463" t="str">
        <f>VLOOKUP(Tableau65[[#This Row],[Utilisateur]],Tableau3[[Prenoms (ID)]:[Localisation]],2,FALSE)</f>
        <v>Audit CPA</v>
      </c>
      <c r="I463" t="str">
        <f>VLOOKUP(Tableau65[[#This Row],[Utilisateur]],Tableau3[[Prenoms (ID)]:[Localisation]],3,FALSE)</f>
        <v>AUDIT-CPA</v>
      </c>
      <c r="J463" t="str">
        <f>VLOOKUP(Tableau65[[#This Row],[Utilisateur]],Tableau3[[Prenoms (ID)]:[CABINET]],4,FALSE)</f>
        <v>CPA</v>
      </c>
    </row>
    <row r="464" spans="1:13" x14ac:dyDescent="0.25">
      <c r="A464" s="2">
        <v>45628</v>
      </c>
      <c r="B464" t="s">
        <v>52</v>
      </c>
      <c r="C464" s="57">
        <v>1</v>
      </c>
      <c r="D464" t="s">
        <v>49</v>
      </c>
      <c r="G464" t="s">
        <v>592</v>
      </c>
      <c r="H464" t="str">
        <f>VLOOKUP(Tableau65[[#This Row],[Utilisateur]],Tableau3[[Prenoms (ID)]:[Localisation]],2,FALSE)</f>
        <v>Optique / Mirado</v>
      </c>
      <c r="I464" t="str">
        <f>VLOOKUP(Tableau65[[#This Row],[Utilisateur]],Tableau3[[Prenoms (ID)]:[Localisation]],3,FALSE)</f>
        <v>BNI1</v>
      </c>
      <c r="J464">
        <f>VLOOKUP(Tableau65[[#This Row],[Utilisateur]],Tableau3[[Prenoms (ID)]:[CABINET]],4,FALSE)</f>
        <v>0</v>
      </c>
    </row>
    <row r="465" spans="1:10" x14ac:dyDescent="0.25">
      <c r="A465" s="2">
        <v>45629</v>
      </c>
      <c r="B465" t="s">
        <v>52</v>
      </c>
      <c r="C465" s="57">
        <v>1</v>
      </c>
      <c r="D465" t="s">
        <v>49</v>
      </c>
      <c r="G465" t="s">
        <v>145</v>
      </c>
      <c r="H465" t="str">
        <f>VLOOKUP(Tableau65[[#This Row],[Utilisateur]],Tableau3[[Prenoms (ID)]:[Localisation]],2,FALSE)</f>
        <v>ASSOCIATION CPA</v>
      </c>
      <c r="I465" t="str">
        <f>VLOOKUP(Tableau65[[#This Row],[Utilisateur]],Tableau3[[Prenoms (ID)]:[Localisation]],3,FALSE)</f>
        <v>CENTRE</v>
      </c>
      <c r="J465">
        <f>VLOOKUP(Tableau65[[#This Row],[Utilisateur]],Tableau3[[Prenoms (ID)]:[CABINET]],4,FALSE)</f>
        <v>0</v>
      </c>
    </row>
    <row r="466" spans="1:10" x14ac:dyDescent="0.25">
      <c r="A466" s="2">
        <v>45629</v>
      </c>
      <c r="B466" t="s">
        <v>52</v>
      </c>
      <c r="C466" s="57">
        <v>1</v>
      </c>
      <c r="D466" t="s">
        <v>49</v>
      </c>
      <c r="G466" t="s">
        <v>480</v>
      </c>
      <c r="H466" t="str">
        <f>VLOOKUP(Tableau65[[#This Row],[Utilisateur]],Tableau3[[Prenoms (ID)]:[Localisation]],2,FALSE)</f>
        <v>Exaulia</v>
      </c>
      <c r="I466" t="str">
        <f>VLOOKUP(Tableau65[[#This Row],[Utilisateur]],Tableau3[[Prenoms (ID)]:[Localisation]],3,FALSE)</f>
        <v>BNI1</v>
      </c>
      <c r="J466">
        <f>VLOOKUP(Tableau65[[#This Row],[Utilisateur]],Tableau3[[Prenoms (ID)]:[CABINET]],4,FALSE)</f>
        <v>0</v>
      </c>
    </row>
    <row r="467" spans="1:10" x14ac:dyDescent="0.25">
      <c r="A467" s="2">
        <v>45629</v>
      </c>
      <c r="B467" t="s">
        <v>54</v>
      </c>
      <c r="C467" s="6">
        <v>1</v>
      </c>
      <c r="D467" t="s">
        <v>49</v>
      </c>
      <c r="G467" t="s">
        <v>593</v>
      </c>
      <c r="H467" t="str">
        <f>VLOOKUP(Tableau65[[#This Row],[Utilisateur]],Tableau3[[Prenoms (ID)]:[Localisation]],2,FALSE)</f>
        <v>-</v>
      </c>
      <c r="I467" t="str">
        <f>VLOOKUP(Tableau65[[#This Row],[Utilisateur]],Tableau3[[Prenoms (ID)]:[Localisation]],3,FALSE)</f>
        <v>BIRA</v>
      </c>
      <c r="J467" t="str">
        <f>VLOOKUP(Tableau65[[#This Row],[Utilisateur]],Tableau3[[Prenoms (ID)]:[CABINET]],4,FALSE)</f>
        <v>CPA</v>
      </c>
    </row>
    <row r="468" spans="1:10" x14ac:dyDescent="0.25">
      <c r="A468" s="2">
        <v>45629</v>
      </c>
      <c r="B468" t="s">
        <v>139</v>
      </c>
      <c r="C468" s="6">
        <v>1</v>
      </c>
      <c r="D468" t="s">
        <v>49</v>
      </c>
      <c r="G468" t="s">
        <v>537</v>
      </c>
      <c r="H468" t="str">
        <f>VLOOKUP(Tableau65[[#This Row],[Utilisateur]],Tableau3[[Prenoms (ID)]:[Localisation]],2,FALSE)</f>
        <v>QUALITE</v>
      </c>
      <c r="I468" t="str">
        <f>VLOOKUP(Tableau65[[#This Row],[Utilisateur]],Tableau3[[Prenoms (ID)]:[Localisation]],3,FALSE)</f>
        <v>DIRECTION</v>
      </c>
      <c r="J468" t="str">
        <f>VLOOKUP(Tableau65[[#This Row],[Utilisateur]],Tableau3[[Prenoms (ID)]:[CABINET]],4,FALSE)</f>
        <v>CPA</v>
      </c>
    </row>
    <row r="469" spans="1:10" x14ac:dyDescent="0.25">
      <c r="A469" s="2">
        <v>45629</v>
      </c>
      <c r="B469" t="s">
        <v>52</v>
      </c>
      <c r="C469" s="57">
        <v>1</v>
      </c>
      <c r="D469" t="s">
        <v>49</v>
      </c>
      <c r="G469" t="s">
        <v>420</v>
      </c>
      <c r="H469" t="str">
        <f>VLOOKUP(Tableau65[[#This Row],[Utilisateur]],Tableau3[[Prenoms (ID)]:[Localisation]],2,FALSE)</f>
        <v>RECCI / Njato Be</v>
      </c>
      <c r="I469" t="str">
        <f>VLOOKUP(Tableau65[[#This Row],[Utilisateur]],Tableau3[[Prenoms (ID)]:[Localisation]],3,FALSE)</f>
        <v>BNI2</v>
      </c>
      <c r="J469">
        <f>VLOOKUP(Tableau65[[#This Row],[Utilisateur]],Tableau3[[Prenoms (ID)]:[CABINET]],4,FALSE)</f>
        <v>0</v>
      </c>
    </row>
    <row r="470" spans="1:10" x14ac:dyDescent="0.25">
      <c r="A470" s="2">
        <v>45631</v>
      </c>
      <c r="B470" t="s">
        <v>52</v>
      </c>
      <c r="C470" s="57">
        <v>1</v>
      </c>
      <c r="G470" t="s">
        <v>594</v>
      </c>
      <c r="H470" s="35" t="str">
        <f>VLOOKUP(Tableau65[[#This Row],[Utilisateur]],Tableau3[[Prenoms (ID)]:[Localisation]],2,FALSE)</f>
        <v>Apprenti</v>
      </c>
      <c r="I470" s="35" t="str">
        <f>VLOOKUP(Tableau65[[#This Row],[Utilisateur]],Tableau3[[Prenoms (ID)]:[Localisation]],3,FALSE)</f>
        <v>BIRA</v>
      </c>
      <c r="J470" s="35">
        <f>VLOOKUP(Tableau65[[#This Row],[Utilisateur]],Tableau3[[Prenoms (ID)]:[CABINET]],4,FALSE)</f>
        <v>0</v>
      </c>
    </row>
    <row r="471" spans="1:10" x14ac:dyDescent="0.25">
      <c r="A471" s="2">
        <v>45635</v>
      </c>
      <c r="B471" t="s">
        <v>52</v>
      </c>
      <c r="C471" s="57">
        <v>1</v>
      </c>
      <c r="D471" t="s">
        <v>49</v>
      </c>
      <c r="G471" t="s">
        <v>498</v>
      </c>
      <c r="H471" t="str">
        <f>VLOOKUP(Tableau65[[#This Row],[Utilisateur]],Tableau3[[Prenoms (ID)]:[Localisation]],2,FALSE)</f>
        <v>Optique / Mirado</v>
      </c>
      <c r="I471" t="str">
        <f>VLOOKUP(Tableau65[[#This Row],[Utilisateur]],Tableau3[[Prenoms (ID)]:[Localisation]],3,FALSE)</f>
        <v>BNI1</v>
      </c>
      <c r="J471">
        <f>VLOOKUP(Tableau65[[#This Row],[Utilisateur]],Tableau3[[Prenoms (ID)]:[CABINET]],4,FALSE)</f>
        <v>0</v>
      </c>
    </row>
    <row r="472" spans="1:10" x14ac:dyDescent="0.25">
      <c r="A472" s="2">
        <v>45636</v>
      </c>
      <c r="B472" t="s">
        <v>60</v>
      </c>
      <c r="C472" s="6">
        <v>1</v>
      </c>
      <c r="D472" t="s">
        <v>49</v>
      </c>
      <c r="G472" t="s">
        <v>524</v>
      </c>
      <c r="H472" s="35" t="str">
        <f>VLOOKUP(Tableau65[[#This Row],[Utilisateur]],Tableau3[[Prenoms (ID)]:[Localisation]],2,FALSE)</f>
        <v>NE2C</v>
      </c>
      <c r="I472" s="35" t="str">
        <f>VLOOKUP(Tableau65[[#This Row],[Utilisateur]],Tableau3[[Prenoms (ID)]:[Localisation]],3,FALSE)</f>
        <v>ARSAC</v>
      </c>
      <c r="J472" s="35">
        <f>VLOOKUP(Tableau65[[#This Row],[Utilisateur]],Tableau3[[Prenoms (ID)]:[CABINET]],4,FALSE)</f>
        <v>0</v>
      </c>
    </row>
    <row r="473" spans="1:10" x14ac:dyDescent="0.25">
      <c r="A473" s="2">
        <v>45637</v>
      </c>
      <c r="B473" t="s">
        <v>52</v>
      </c>
      <c r="C473" s="57">
        <v>1</v>
      </c>
      <c r="D473" t="s">
        <v>49</v>
      </c>
      <c r="G473" t="s">
        <v>361</v>
      </c>
      <c r="H473" s="35" t="str">
        <f>VLOOKUP(Tableau65[[#This Row],[Utilisateur]],Tableau3[[Prenoms (ID)]:[Localisation]],2,FALSE)</f>
        <v>Optique / Mirado</v>
      </c>
      <c r="I473" s="35" t="str">
        <f>VLOOKUP(Tableau65[[#This Row],[Utilisateur]],Tableau3[[Prenoms (ID)]:[Localisation]],3,FALSE)</f>
        <v>BNI1</v>
      </c>
      <c r="J473" s="35">
        <f>VLOOKUP(Tableau65[[#This Row],[Utilisateur]],Tableau3[[Prenoms (ID)]:[CABINET]],4,FALSE)</f>
        <v>0</v>
      </c>
    </row>
    <row r="474" spans="1:10" x14ac:dyDescent="0.25">
      <c r="A474" s="2">
        <v>45641</v>
      </c>
      <c r="B474" t="s">
        <v>52</v>
      </c>
      <c r="C474" s="57">
        <v>1</v>
      </c>
      <c r="G474" t="s">
        <v>317</v>
      </c>
      <c r="H474" s="35" t="str">
        <f>VLOOKUP(Tableau65[[#This Row],[Utilisateur]],Tableau3[[Prenoms (ID)]:[Localisation]],2,FALSE)</f>
        <v>Informatique</v>
      </c>
      <c r="I474" s="35">
        <f>VLOOKUP(Tableau65[[#This Row],[Utilisateur]],Tableau3[[Prenoms (ID)]:[Localisation]],3,FALSE)</f>
        <v>0</v>
      </c>
      <c r="J474" s="35">
        <f>VLOOKUP(Tableau65[[#This Row],[Utilisateur]],Tableau3[[Prenoms (ID)]:[CABINET]],4,FALSE)</f>
        <v>0</v>
      </c>
    </row>
    <row r="475" spans="1:10" x14ac:dyDescent="0.25">
      <c r="A475" s="2">
        <v>45642</v>
      </c>
      <c r="B475" t="s">
        <v>52</v>
      </c>
      <c r="C475" s="57">
        <v>1</v>
      </c>
      <c r="D475" t="s">
        <v>49</v>
      </c>
      <c r="G475" t="s">
        <v>352</v>
      </c>
      <c r="H475" s="35" t="str">
        <f>VLOOKUP(Tableau65[[#This Row],[Utilisateur]],Tableau3[[Prenoms (ID)]:[Localisation]],2,FALSE)</f>
        <v>Optique / Mirado</v>
      </c>
      <c r="I475" s="35" t="str">
        <f>VLOOKUP(Tableau65[[#This Row],[Utilisateur]],Tableau3[[Prenoms (ID)]:[Localisation]],3,FALSE)</f>
        <v>BNI1</v>
      </c>
      <c r="J475" s="35">
        <f>VLOOKUP(Tableau65[[#This Row],[Utilisateur]],Tableau3[[Prenoms (ID)]:[CABINET]],4,FALSE)</f>
        <v>0</v>
      </c>
    </row>
    <row r="476" spans="1:10" x14ac:dyDescent="0.25">
      <c r="A476" s="2">
        <v>45642</v>
      </c>
      <c r="B476" t="s">
        <v>52</v>
      </c>
      <c r="C476" s="57">
        <v>1</v>
      </c>
      <c r="G476" t="s">
        <v>595</v>
      </c>
      <c r="H476" s="35" t="str">
        <f>VLOOKUP(Tableau65[[#This Row],[Utilisateur]],Tableau3[[Prenoms (ID)]:[Localisation]],2,FALSE)</f>
        <v>Audit CPA</v>
      </c>
      <c r="I476" s="35" t="str">
        <f>VLOOKUP(Tableau65[[#This Row],[Utilisateur]],Tableau3[[Prenoms (ID)]:[Localisation]],3,FALSE)</f>
        <v>AUDIT-CPA</v>
      </c>
      <c r="J476" s="35" t="str">
        <f>VLOOKUP(Tableau65[[#This Row],[Utilisateur]],Tableau3[[Prenoms (ID)]:[CABINET]],4,FALSE)</f>
        <v>CPA</v>
      </c>
    </row>
    <row r="477" spans="1:10" x14ac:dyDescent="0.25">
      <c r="A477" s="2">
        <v>45642</v>
      </c>
      <c r="B477" t="s">
        <v>34</v>
      </c>
      <c r="C477" s="6">
        <v>1</v>
      </c>
      <c r="D477" t="s">
        <v>49</v>
      </c>
      <c r="G477" t="s">
        <v>364</v>
      </c>
      <c r="H477" t="str">
        <f>VLOOKUP(Tableau65[[#This Row],[Utilisateur]],Tableau3[[Prenoms (ID)]:[Localisation]],2,FALSE)</f>
        <v>Xperia</v>
      </c>
      <c r="I477" t="str">
        <f>VLOOKUP(Tableau65[[#This Row],[Utilisateur]],Tableau3[[Prenoms (ID)]:[Localisation]],3,FALSE)</f>
        <v>SOCIAL</v>
      </c>
      <c r="J477">
        <f>VLOOKUP(Tableau65[[#This Row],[Utilisateur]],Tableau3[[Prenoms (ID)]:[CABINET]],4,FALSE)</f>
        <v>0</v>
      </c>
    </row>
    <row r="478" spans="1:10" x14ac:dyDescent="0.25">
      <c r="A478" s="2">
        <v>45642</v>
      </c>
      <c r="B478" t="s">
        <v>34</v>
      </c>
      <c r="C478" s="6">
        <v>1</v>
      </c>
      <c r="E478" t="s">
        <v>596</v>
      </c>
      <c r="G478" t="s">
        <v>597</v>
      </c>
      <c r="H478" t="str">
        <f>VLOOKUP(Tableau65[[#This Row],[Utilisateur]],Tableau3[[Prenoms (ID)]:[Localisation]],2,FALSE)</f>
        <v>Optique / Mirado</v>
      </c>
      <c r="I478" t="str">
        <f>VLOOKUP(Tableau65[[#This Row],[Utilisateur]],Tableau3[[Prenoms (ID)]:[Localisation]],3,FALSE)</f>
        <v>BNI1</v>
      </c>
      <c r="J478">
        <f>VLOOKUP(Tableau65[[#This Row],[Utilisateur]],Tableau3[[Prenoms (ID)]:[CABINET]],4,FALSE)</f>
        <v>0</v>
      </c>
    </row>
    <row r="479" spans="1:10" x14ac:dyDescent="0.25">
      <c r="A479" s="2">
        <v>45642</v>
      </c>
      <c r="B479" t="s">
        <v>34</v>
      </c>
      <c r="C479" s="6">
        <v>1</v>
      </c>
      <c r="E479" t="s">
        <v>598</v>
      </c>
      <c r="H479" t="e">
        <f>VLOOKUP(Tableau65[[#This Row],[Utilisateur]],Tableau3[[Prenoms (ID)]:[Localisation]],2,FALSE)</f>
        <v>#N/A</v>
      </c>
      <c r="I479" t="e">
        <f>VLOOKUP(Tableau65[[#This Row],[Utilisateur]],Tableau3[[Prenoms (ID)]:[Localisation]],3,FALSE)</f>
        <v>#N/A</v>
      </c>
      <c r="J479" t="e">
        <f>VLOOKUP(Tableau65[[#This Row],[Utilisateur]],Tableau3[[Prenoms (ID)]:[CABINET]],4,FALSE)</f>
        <v>#N/A</v>
      </c>
    </row>
    <row r="480" spans="1:10" x14ac:dyDescent="0.25">
      <c r="A480" s="2">
        <v>45642</v>
      </c>
      <c r="B480" t="s">
        <v>34</v>
      </c>
      <c r="C480" s="6">
        <v>1</v>
      </c>
      <c r="G480" t="s">
        <v>318</v>
      </c>
      <c r="H480" t="str">
        <f>VLOOKUP(Tableau65[[#This Row],[Utilisateur]],Tableau3[[Prenoms (ID)]:[Localisation]],2,FALSE)</f>
        <v>Xperia</v>
      </c>
      <c r="I480" t="str">
        <f>VLOOKUP(Tableau65[[#This Row],[Utilisateur]],Tableau3[[Prenoms (ID)]:[Localisation]],3,FALSE)</f>
        <v>SOCIAL</v>
      </c>
      <c r="J480">
        <f>VLOOKUP(Tableau65[[#This Row],[Utilisateur]],Tableau3[[Prenoms (ID)]:[CABINET]],4,FALSE)</f>
        <v>0</v>
      </c>
    </row>
    <row r="481" spans="1:10" x14ac:dyDescent="0.25">
      <c r="A481" s="2">
        <v>45642</v>
      </c>
      <c r="B481" t="s">
        <v>99</v>
      </c>
      <c r="C481" s="6">
        <v>1</v>
      </c>
      <c r="G481" t="s">
        <v>137</v>
      </c>
      <c r="H481" t="str">
        <f>VLOOKUP(Tableau65[[#This Row],[Utilisateur]],Tableau3[[Prenoms (ID)]:[Localisation]],2,FALSE)</f>
        <v>-</v>
      </c>
      <c r="I481" t="str">
        <f>VLOOKUP(Tableau65[[#This Row],[Utilisateur]],Tableau3[[Prenoms (ID)]:[Localisation]],3,FALSE)</f>
        <v>BIRA</v>
      </c>
      <c r="J481" t="str">
        <f>VLOOKUP(Tableau65[[#This Row],[Utilisateur]],Tableau3[[Prenoms (ID)]:[CABINET]],4,FALSE)</f>
        <v>CPA</v>
      </c>
    </row>
    <row r="482" spans="1:10" x14ac:dyDescent="0.25">
      <c r="A482" s="2">
        <v>45484</v>
      </c>
      <c r="B482" t="s">
        <v>82</v>
      </c>
      <c r="C482" s="6">
        <v>1</v>
      </c>
      <c r="D482" t="s">
        <v>49</v>
      </c>
      <c r="G482" s="62" t="s">
        <v>387</v>
      </c>
      <c r="H482" t="str">
        <f>VLOOKUP(Tableau65[[#This Row],[Utilisateur]],Tableau3[[Prenoms (ID)]:[Localisation]],2,FALSE)</f>
        <v>Comptastar</v>
      </c>
      <c r="I482" t="str">
        <f>VLOOKUP(Tableau65[[#This Row],[Utilisateur]],Tableau3[[Prenoms (ID)]:[Localisation]],3,FALSE)</f>
        <v>CENTRE</v>
      </c>
      <c r="J482">
        <f>VLOOKUP(Tableau65[[#This Row],[Utilisateur]],Tableau3[[Prenoms (ID)]:[CABINET]],4,FALSE)</f>
        <v>0</v>
      </c>
    </row>
    <row r="483" spans="1:10" x14ac:dyDescent="0.25">
      <c r="A483" s="2">
        <v>45485</v>
      </c>
      <c r="B483" t="s">
        <v>82</v>
      </c>
      <c r="C483" s="6">
        <v>1</v>
      </c>
      <c r="D483" t="s">
        <v>49</v>
      </c>
      <c r="G483" s="62" t="s">
        <v>355</v>
      </c>
      <c r="H483" t="str">
        <f>VLOOKUP(Tableau65[[#This Row],[Utilisateur]],Tableau3[[Prenoms (ID)]:[Localisation]],2,FALSE)</f>
        <v>Cecca etoile</v>
      </c>
      <c r="I483" t="str">
        <f>VLOOKUP(Tableau65[[#This Row],[Utilisateur]],Tableau3[[Prenoms (ID)]:[Localisation]],3,FALSE)</f>
        <v>BNI1</v>
      </c>
      <c r="J483">
        <f>VLOOKUP(Tableau65[[#This Row],[Utilisateur]],Tableau3[[Prenoms (ID)]:[CABINET]],4,FALSE)</f>
        <v>0</v>
      </c>
    </row>
    <row r="484" spans="1:10" x14ac:dyDescent="0.25">
      <c r="A484" s="2">
        <v>45642</v>
      </c>
      <c r="B484" t="s">
        <v>28</v>
      </c>
      <c r="C484" s="6">
        <v>40</v>
      </c>
      <c r="E484" t="s">
        <v>142</v>
      </c>
      <c r="H484" t="e">
        <f>VLOOKUP(Tableau65[[#This Row],[Utilisateur]],Tableau3[[Prenoms (ID)]:[Localisation]],2,FALSE)</f>
        <v>#N/A</v>
      </c>
      <c r="I484" t="e">
        <f>VLOOKUP(Tableau65[[#This Row],[Utilisateur]],Tableau3[[Prenoms (ID)]:[Localisation]],3,FALSE)</f>
        <v>#N/A</v>
      </c>
      <c r="J484" t="e">
        <f>VLOOKUP(Tableau65[[#This Row],[Utilisateur]],Tableau3[[Prenoms (ID)]:[CABINET]],4,FALSE)</f>
        <v>#N/A</v>
      </c>
    </row>
    <row r="485" spans="1:10" x14ac:dyDescent="0.25">
      <c r="A485" s="47">
        <v>45642</v>
      </c>
      <c r="B485" t="s">
        <v>65</v>
      </c>
      <c r="C485" s="6">
        <v>10</v>
      </c>
      <c r="E485" t="s">
        <v>143</v>
      </c>
      <c r="H485" t="e">
        <f>VLOOKUP(Tableau65[[#This Row],[Utilisateur]],Tableau3[[Prenoms (ID)]:[Localisation]],2,FALSE)</f>
        <v>#N/A</v>
      </c>
      <c r="I485" t="e">
        <f>VLOOKUP(Tableau65[[#This Row],[Utilisateur]],Tableau3[[Prenoms (ID)]:[Localisation]],3,FALSE)</f>
        <v>#N/A</v>
      </c>
      <c r="J485" t="e">
        <f>VLOOKUP(Tableau65[[#This Row],[Utilisateur]],Tableau3[[Prenoms (ID)]:[CABINET]],4,FALSE)</f>
        <v>#N/A</v>
      </c>
    </row>
    <row r="486" spans="1:10" x14ac:dyDescent="0.25">
      <c r="A486" s="48">
        <v>45642</v>
      </c>
      <c r="B486" t="s">
        <v>253</v>
      </c>
      <c r="C486" s="6">
        <v>200</v>
      </c>
      <c r="E486" t="s">
        <v>143</v>
      </c>
      <c r="H486" t="e">
        <f>VLOOKUP(Tableau65[[#This Row],[Utilisateur]],Tableau3[[Prenoms (ID)]:[Localisation]],2,FALSE)</f>
        <v>#N/A</v>
      </c>
      <c r="I486" t="e">
        <f>VLOOKUP(Tableau65[[#This Row],[Utilisateur]],Tableau3[[Prenoms (ID)]:[Localisation]],3,FALSE)</f>
        <v>#N/A</v>
      </c>
      <c r="J486" t="e">
        <f>VLOOKUP(Tableau65[[#This Row],[Utilisateur]],Tableau3[[Prenoms (ID)]:[CABINET]],4,FALSE)</f>
        <v>#N/A</v>
      </c>
    </row>
    <row r="487" spans="1:10" x14ac:dyDescent="0.25">
      <c r="A487" s="48">
        <v>45642</v>
      </c>
      <c r="B487" t="s">
        <v>34</v>
      </c>
      <c r="C487" s="6">
        <v>1</v>
      </c>
      <c r="G487" t="s">
        <v>265</v>
      </c>
      <c r="H487" t="str">
        <f>VLOOKUP(Tableau65[[#This Row],[Utilisateur]],Tableau3[[Prenoms (ID)]:[Localisation]],2,FALSE)</f>
        <v>Admin</v>
      </c>
      <c r="I487" t="str">
        <f>VLOOKUP(Tableau65[[#This Row],[Utilisateur]],Tableau3[[Prenoms (ID)]:[Localisation]],3,FALSE)</f>
        <v>BIRA</v>
      </c>
      <c r="J487" t="str">
        <f>VLOOKUP(Tableau65[[#This Row],[Utilisateur]],Tableau3[[Prenoms (ID)]:[CABINET]],4,FALSE)</f>
        <v>CPA</v>
      </c>
    </row>
    <row r="488" spans="1:10" x14ac:dyDescent="0.25">
      <c r="A488" s="48">
        <v>45642</v>
      </c>
      <c r="B488" t="s">
        <v>34</v>
      </c>
      <c r="C488" s="6">
        <v>1</v>
      </c>
      <c r="G488" t="s">
        <v>593</v>
      </c>
      <c r="H488" t="str">
        <f>VLOOKUP(Tableau65[[#This Row],[Utilisateur]],Tableau3[[Prenoms (ID)]:[Localisation]],2,FALSE)</f>
        <v>-</v>
      </c>
      <c r="I488" t="str">
        <f>VLOOKUP(Tableau65[[#This Row],[Utilisateur]],Tableau3[[Prenoms (ID)]:[Localisation]],3,FALSE)</f>
        <v>BIRA</v>
      </c>
      <c r="J488" t="str">
        <f>VLOOKUP(Tableau65[[#This Row],[Utilisateur]],Tableau3[[Prenoms (ID)]:[CABINET]],4,FALSE)</f>
        <v>CPA</v>
      </c>
    </row>
    <row r="489" spans="1:10" x14ac:dyDescent="0.25">
      <c r="A489" s="48">
        <v>45642</v>
      </c>
      <c r="B489" t="s">
        <v>34</v>
      </c>
      <c r="C489" s="6">
        <v>1</v>
      </c>
      <c r="G489" t="s">
        <v>145</v>
      </c>
      <c r="H489" t="str">
        <f>VLOOKUP(Tableau65[[#This Row],[Utilisateur]],Tableau3[[Prenoms (ID)]:[Localisation]],2,FALSE)</f>
        <v>ASSOCIATION CPA</v>
      </c>
      <c r="I489" t="str">
        <f>VLOOKUP(Tableau65[[#This Row],[Utilisateur]],Tableau3[[Prenoms (ID)]:[Localisation]],3,FALSE)</f>
        <v>CENTRE</v>
      </c>
      <c r="J489">
        <f>VLOOKUP(Tableau65[[#This Row],[Utilisateur]],Tableau3[[Prenoms (ID)]:[CABINET]],4,FALSE)</f>
        <v>0</v>
      </c>
    </row>
    <row r="490" spans="1:10" x14ac:dyDescent="0.25">
      <c r="A490" s="48">
        <v>45642</v>
      </c>
      <c r="B490" t="s">
        <v>114</v>
      </c>
      <c r="C490" s="6">
        <v>1</v>
      </c>
      <c r="G490" t="s">
        <v>27</v>
      </c>
      <c r="H490">
        <f>VLOOKUP(Tableau65[[#This Row],[Utilisateur]],Tableau3[[Prenoms (ID)]:[Localisation]],2,FALSE)</f>
        <v>0</v>
      </c>
      <c r="I490" t="str">
        <f>VLOOKUP(Tableau65[[#This Row],[Utilisateur]],Tableau3[[Prenoms (ID)]:[Localisation]],3,FALSE)</f>
        <v>BIRA</v>
      </c>
      <c r="J490" t="str">
        <f>VLOOKUP(Tableau65[[#This Row],[Utilisateur]],Tableau3[[Prenoms (ID)]:[CABINET]],4,FALSE)</f>
        <v>CPA</v>
      </c>
    </row>
    <row r="491" spans="1:10" x14ac:dyDescent="0.25">
      <c r="A491" s="48">
        <v>45642</v>
      </c>
      <c r="B491" t="s">
        <v>18</v>
      </c>
      <c r="C491" s="6">
        <v>300</v>
      </c>
      <c r="E491" t="s">
        <v>143</v>
      </c>
      <c r="H491" t="e">
        <f>VLOOKUP(Tableau65[[#This Row],[Utilisateur]],Tableau3[[Prenoms (ID)]:[Localisation]],2,FALSE)</f>
        <v>#N/A</v>
      </c>
      <c r="I491" t="e">
        <f>VLOOKUP(Tableau65[[#This Row],[Utilisateur]],Tableau3[[Prenoms (ID)]:[Localisation]],3,FALSE)</f>
        <v>#N/A</v>
      </c>
      <c r="J491" t="e">
        <f>VLOOKUP(Tableau65[[#This Row],[Utilisateur]],Tableau3[[Prenoms (ID)]:[CABINET]],4,FALSE)</f>
        <v>#N/A</v>
      </c>
    </row>
    <row r="492" spans="1:10" x14ac:dyDescent="0.25">
      <c r="A492" s="48">
        <v>45642</v>
      </c>
      <c r="B492" t="s">
        <v>18</v>
      </c>
      <c r="C492" s="6">
        <v>300</v>
      </c>
      <c r="E492" t="s">
        <v>143</v>
      </c>
      <c r="H492" t="e">
        <f>VLOOKUP(Tableau65[[#This Row],[Utilisateur]],Tableau3[[Prenoms (ID)]:[Localisation]],2,FALSE)</f>
        <v>#N/A</v>
      </c>
      <c r="I492" t="e">
        <f>VLOOKUP(Tableau65[[#This Row],[Utilisateur]],Tableau3[[Prenoms (ID)]:[Localisation]],3,FALSE)</f>
        <v>#N/A</v>
      </c>
      <c r="J492" t="e">
        <f>VLOOKUP(Tableau65[[#This Row],[Utilisateur]],Tableau3[[Prenoms (ID)]:[CABINET]],4,FALSE)</f>
        <v>#N/A</v>
      </c>
    </row>
    <row r="493" spans="1:10" x14ac:dyDescent="0.25">
      <c r="A493" s="48">
        <v>45642</v>
      </c>
      <c r="B493" t="s">
        <v>18</v>
      </c>
      <c r="C493" s="6">
        <v>300</v>
      </c>
      <c r="E493" t="s">
        <v>143</v>
      </c>
      <c r="H493" t="e">
        <f>VLOOKUP(Tableau65[[#This Row],[Utilisateur]],Tableau3[[Prenoms (ID)]:[Localisation]],2,FALSE)</f>
        <v>#N/A</v>
      </c>
      <c r="I493" t="e">
        <f>VLOOKUP(Tableau65[[#This Row],[Utilisateur]],Tableau3[[Prenoms (ID)]:[Localisation]],3,FALSE)</f>
        <v>#N/A</v>
      </c>
      <c r="J493" t="e">
        <f>VLOOKUP(Tableau65[[#This Row],[Utilisateur]],Tableau3[[Prenoms (ID)]:[CABINET]],4,FALSE)</f>
        <v>#N/A</v>
      </c>
    </row>
    <row r="494" spans="1:10" x14ac:dyDescent="0.25">
      <c r="A494" s="48">
        <v>45643</v>
      </c>
      <c r="B494" t="s">
        <v>52</v>
      </c>
      <c r="C494" s="57">
        <v>1</v>
      </c>
      <c r="D494" s="43" t="s">
        <v>49</v>
      </c>
      <c r="E494" t="s">
        <v>599</v>
      </c>
      <c r="G494" t="s">
        <v>236</v>
      </c>
      <c r="H494" s="35" t="str">
        <f>VLOOKUP(Tableau65[[#This Row],[Utilisateur]],Tableau3[[Prenoms (ID)]:[Localisation]],2,FALSE)</f>
        <v>RUEIL</v>
      </c>
      <c r="I494" s="35" t="str">
        <f>VLOOKUP(Tableau65[[#This Row],[Utilisateur]],Tableau3[[Prenoms (ID)]:[Localisation]],3,FALSE)</f>
        <v>BNI1</v>
      </c>
      <c r="J494" s="35">
        <f>VLOOKUP(Tableau65[[#This Row],[Utilisateur]],Tableau3[[Prenoms (ID)]:[CABINET]],4,FALSE)</f>
        <v>0</v>
      </c>
    </row>
    <row r="495" spans="1:10" x14ac:dyDescent="0.25">
      <c r="A495" s="48">
        <v>45643</v>
      </c>
      <c r="B495" t="s">
        <v>52</v>
      </c>
      <c r="C495" s="57">
        <v>1</v>
      </c>
      <c r="D495" t="s">
        <v>49</v>
      </c>
      <c r="G495" t="s">
        <v>347</v>
      </c>
      <c r="H495" s="35">
        <f>VLOOKUP(Tableau65[[#This Row],[Utilisateur]],Tableau3[[Prenoms (ID)]:[Localisation]],2,FALSE)</f>
        <v>0</v>
      </c>
      <c r="I495" s="35">
        <f>VLOOKUP(Tableau65[[#This Row],[Utilisateur]],Tableau3[[Prenoms (ID)]:[Localisation]],3,FALSE)</f>
        <v>0</v>
      </c>
      <c r="J495" s="35">
        <f>VLOOKUP(Tableau65[[#This Row],[Utilisateur]],Tableau3[[Prenoms (ID)]:[CABINET]],4,FALSE)</f>
        <v>0</v>
      </c>
    </row>
    <row r="496" spans="1:10" x14ac:dyDescent="0.25">
      <c r="A496" s="48">
        <v>45643</v>
      </c>
      <c r="B496" t="s">
        <v>52</v>
      </c>
      <c r="C496" s="57">
        <v>1</v>
      </c>
      <c r="D496" s="43" t="s">
        <v>49</v>
      </c>
      <c r="E496" t="s">
        <v>599</v>
      </c>
      <c r="G496" t="s">
        <v>166</v>
      </c>
      <c r="H496" s="35" t="str">
        <f>VLOOKUP(Tableau65[[#This Row],[Utilisateur]],Tableau3[[Prenoms (ID)]:[Localisation]],2,FALSE)</f>
        <v>ORANOVA</v>
      </c>
      <c r="I496" s="35" t="str">
        <f>VLOOKUP(Tableau65[[#This Row],[Utilisateur]],Tableau3[[Prenoms (ID)]:[Localisation]],3,FALSE)</f>
        <v>BNI1</v>
      </c>
      <c r="J496" s="35">
        <f>VLOOKUP(Tableau65[[#This Row],[Utilisateur]],Tableau3[[Prenoms (ID)]:[CABINET]],4,FALSE)</f>
        <v>0</v>
      </c>
    </row>
    <row r="497" spans="1:10" x14ac:dyDescent="0.25">
      <c r="A497" s="48">
        <v>45643</v>
      </c>
      <c r="B497" t="s">
        <v>52</v>
      </c>
      <c r="C497" s="57">
        <v>1</v>
      </c>
      <c r="D497" s="43" t="s">
        <v>49</v>
      </c>
      <c r="E497" t="s">
        <v>599</v>
      </c>
      <c r="G497" t="s">
        <v>239</v>
      </c>
      <c r="H497" s="35" t="str">
        <f>VLOOKUP(Tableau65[[#This Row],[Utilisateur]],Tableau3[[Prenoms (ID)]:[Localisation]],2,FALSE)</f>
        <v>Optique / Mirado</v>
      </c>
      <c r="I497" s="35" t="str">
        <f>VLOOKUP(Tableau65[[#This Row],[Utilisateur]],Tableau3[[Prenoms (ID)]:[Localisation]],3,FALSE)</f>
        <v>BNI1</v>
      </c>
      <c r="J497" s="35">
        <f>VLOOKUP(Tableau65[[#This Row],[Utilisateur]],Tableau3[[Prenoms (ID)]:[CABINET]],4,FALSE)</f>
        <v>0</v>
      </c>
    </row>
    <row r="498" spans="1:10" x14ac:dyDescent="0.25">
      <c r="A498" s="48">
        <v>45643</v>
      </c>
      <c r="B498" t="s">
        <v>52</v>
      </c>
      <c r="C498" s="57">
        <v>1</v>
      </c>
      <c r="D498" s="43" t="s">
        <v>49</v>
      </c>
      <c r="E498" t="s">
        <v>599</v>
      </c>
      <c r="G498" t="s">
        <v>168</v>
      </c>
      <c r="H498" s="35" t="str">
        <f>VLOOKUP(Tableau65[[#This Row],[Utilisateur]],Tableau3[[Prenoms (ID)]:[Localisation]],2,FALSE)</f>
        <v>RECCI / Daniel</v>
      </c>
      <c r="I498" s="35" t="str">
        <f>VLOOKUP(Tableau65[[#This Row],[Utilisateur]],Tableau3[[Prenoms (ID)]:[Localisation]],3,FALSE)</f>
        <v>BNI1</v>
      </c>
      <c r="J498" s="35">
        <f>VLOOKUP(Tableau65[[#This Row],[Utilisateur]],Tableau3[[Prenoms (ID)]:[CABINET]],4,FALSE)</f>
        <v>0</v>
      </c>
    </row>
    <row r="499" spans="1:10" x14ac:dyDescent="0.25">
      <c r="A499" s="48">
        <v>45643</v>
      </c>
      <c r="B499" t="s">
        <v>52</v>
      </c>
      <c r="C499" s="57">
        <v>1</v>
      </c>
      <c r="D499" s="43" t="s">
        <v>49</v>
      </c>
      <c r="E499" t="s">
        <v>599</v>
      </c>
      <c r="G499" t="s">
        <v>150</v>
      </c>
      <c r="H499" s="35" t="str">
        <f>VLOOKUP(Tableau65[[#This Row],[Utilisateur]],Tableau3[[Prenoms (ID)]:[Localisation]],2,FALSE)</f>
        <v>RECCI SGDB</v>
      </c>
      <c r="I499" s="35" t="str">
        <f>VLOOKUP(Tableau65[[#This Row],[Utilisateur]],Tableau3[[Prenoms (ID)]:[Localisation]],3,FALSE)</f>
        <v>BNI1</v>
      </c>
      <c r="J499" s="35">
        <f>VLOOKUP(Tableau65[[#This Row],[Utilisateur]],Tableau3[[Prenoms (ID)]:[CABINET]],4,FALSE)</f>
        <v>0</v>
      </c>
    </row>
    <row r="500" spans="1:10" x14ac:dyDescent="0.25">
      <c r="A500" s="40">
        <v>45643</v>
      </c>
      <c r="B500" s="27" t="s">
        <v>147</v>
      </c>
      <c r="C500" s="6">
        <v>1</v>
      </c>
      <c r="D500" t="s">
        <v>49</v>
      </c>
      <c r="G500" t="s">
        <v>148</v>
      </c>
      <c r="H500" s="35" t="str">
        <f>VLOOKUP(Tableau65[[#This Row],[Utilisateur]],Tableau3[[Prenoms (ID)]:[Localisation]],2,FALSE)</f>
        <v>RECCI SGDB</v>
      </c>
      <c r="I500" s="35" t="str">
        <f>VLOOKUP(Tableau65[[#This Row],[Utilisateur]],Tableau3[[Prenoms (ID)]:[Localisation]],3,FALSE)</f>
        <v>BNI1</v>
      </c>
      <c r="J500" s="35">
        <f>VLOOKUP(Tableau65[[#This Row],[Utilisateur]],Tableau3[[Prenoms (ID)]:[CABINET]],4,FALSE)</f>
        <v>0</v>
      </c>
    </row>
    <row r="501" spans="1:10" x14ac:dyDescent="0.25">
      <c r="A501" s="40">
        <v>45643</v>
      </c>
      <c r="B501" s="27" t="s">
        <v>149</v>
      </c>
      <c r="C501" s="6">
        <v>1</v>
      </c>
      <c r="D501" t="s">
        <v>49</v>
      </c>
      <c r="G501" t="s">
        <v>150</v>
      </c>
      <c r="H501" s="35" t="str">
        <f>VLOOKUP(Tableau65[[#This Row],[Utilisateur]],Tableau3[[Prenoms (ID)]:[Localisation]],2,FALSE)</f>
        <v>RECCI SGDB</v>
      </c>
      <c r="I501" s="35" t="str">
        <f>VLOOKUP(Tableau65[[#This Row],[Utilisateur]],Tableau3[[Prenoms (ID)]:[Localisation]],3,FALSE)</f>
        <v>BNI1</v>
      </c>
      <c r="J501" s="35">
        <f>VLOOKUP(Tableau65[[#This Row],[Utilisateur]],Tableau3[[Prenoms (ID)]:[CABINET]],4,FALSE)</f>
        <v>0</v>
      </c>
    </row>
    <row r="502" spans="1:10" x14ac:dyDescent="0.25">
      <c r="A502" s="40">
        <v>45643</v>
      </c>
      <c r="B502" s="27" t="s">
        <v>152</v>
      </c>
      <c r="C502" s="6">
        <v>1</v>
      </c>
      <c r="D502" t="s">
        <v>49</v>
      </c>
      <c r="G502" t="s">
        <v>153</v>
      </c>
      <c r="H502" s="35" t="str">
        <f>VLOOKUP(Tableau65[[#This Row],[Utilisateur]],Tableau3[[Prenoms (ID)]:[Localisation]],2,FALSE)</f>
        <v>Optique / Sata</v>
      </c>
      <c r="I502" s="35" t="str">
        <f>VLOOKUP(Tableau65[[#This Row],[Utilisateur]],Tableau3[[Prenoms (ID)]:[Localisation]],3,FALSE)</f>
        <v>BNI1</v>
      </c>
      <c r="J502" s="35">
        <f>VLOOKUP(Tableau65[[#This Row],[Utilisateur]],Tableau3[[Prenoms (ID)]:[CABINET]],4,FALSE)</f>
        <v>0</v>
      </c>
    </row>
    <row r="503" spans="1:10" x14ac:dyDescent="0.25">
      <c r="A503" s="40">
        <v>45643</v>
      </c>
      <c r="B503" s="27" t="s">
        <v>155</v>
      </c>
      <c r="C503" s="6">
        <v>1</v>
      </c>
      <c r="D503" t="s">
        <v>49</v>
      </c>
      <c r="G503" t="s">
        <v>156</v>
      </c>
      <c r="H503" s="35" t="str">
        <f>VLOOKUP(Tableau65[[#This Row],[Utilisateur]],Tableau3[[Prenoms (ID)]:[Localisation]],2,FALSE)</f>
        <v>Optique / Mirado</v>
      </c>
      <c r="I503" s="35" t="str">
        <f>VLOOKUP(Tableau65[[#This Row],[Utilisateur]],Tableau3[[Prenoms (ID)]:[Localisation]],3,FALSE)</f>
        <v>BNI1</v>
      </c>
      <c r="J503" s="35">
        <f>VLOOKUP(Tableau65[[#This Row],[Utilisateur]],Tableau3[[Prenoms (ID)]:[CABINET]],4,FALSE)</f>
        <v>0</v>
      </c>
    </row>
    <row r="504" spans="1:10" x14ac:dyDescent="0.25">
      <c r="A504" s="40">
        <v>45643</v>
      </c>
      <c r="B504" s="27" t="s">
        <v>158</v>
      </c>
      <c r="C504" s="6">
        <v>1</v>
      </c>
      <c r="D504" t="s">
        <v>49</v>
      </c>
      <c r="G504" t="s">
        <v>159</v>
      </c>
      <c r="H504" s="35" t="str">
        <f>VLOOKUP(Tableau65[[#This Row],[Utilisateur]],Tableau3[[Prenoms (ID)]:[Localisation]],2,FALSE)</f>
        <v>Optique / Sata</v>
      </c>
      <c r="I504" s="35" t="str">
        <f>VLOOKUP(Tableau65[[#This Row],[Utilisateur]],Tableau3[[Prenoms (ID)]:[Localisation]],3,FALSE)</f>
        <v>BNI1</v>
      </c>
      <c r="J504" s="35">
        <f>VLOOKUP(Tableau65[[#This Row],[Utilisateur]],Tableau3[[Prenoms (ID)]:[CABINET]],4,FALSE)</f>
        <v>0</v>
      </c>
    </row>
    <row r="505" spans="1:10" x14ac:dyDescent="0.25">
      <c r="A505" s="40">
        <v>45643</v>
      </c>
      <c r="B505" s="27" t="s">
        <v>161</v>
      </c>
      <c r="C505" s="6">
        <v>1</v>
      </c>
      <c r="D505" t="s">
        <v>49</v>
      </c>
      <c r="G505" t="s">
        <v>162</v>
      </c>
      <c r="H505" s="35" t="str">
        <f>VLOOKUP(Tableau65[[#This Row],[Utilisateur]],Tableau3[[Prenoms (ID)]:[Localisation]],2,FALSE)</f>
        <v>Optique / Mirado</v>
      </c>
      <c r="I505" s="35" t="str">
        <f>VLOOKUP(Tableau65[[#This Row],[Utilisateur]],Tableau3[[Prenoms (ID)]:[Localisation]],3,FALSE)</f>
        <v>BNI1</v>
      </c>
      <c r="J505" s="35">
        <f>VLOOKUP(Tableau65[[#This Row],[Utilisateur]],Tableau3[[Prenoms (ID)]:[CABINET]],4,FALSE)</f>
        <v>0</v>
      </c>
    </row>
    <row r="506" spans="1:10" x14ac:dyDescent="0.25">
      <c r="A506" s="40">
        <v>45643</v>
      </c>
      <c r="B506" t="s">
        <v>28</v>
      </c>
      <c r="C506" s="44">
        <v>1</v>
      </c>
      <c r="D506" s="43" t="s">
        <v>49</v>
      </c>
      <c r="G506" t="s">
        <v>148</v>
      </c>
      <c r="H506" s="35" t="str">
        <f>VLOOKUP(Tableau65[[#This Row],[Utilisateur]],Tableau3[[Prenoms (ID)]:[Localisation]],2,FALSE)</f>
        <v>RECCI SGDB</v>
      </c>
      <c r="I506" s="35" t="str">
        <f>VLOOKUP(Tableau65[[#This Row],[Utilisateur]],Tableau3[[Prenoms (ID)]:[Localisation]],3,FALSE)</f>
        <v>BNI1</v>
      </c>
      <c r="J506" s="35">
        <f>VLOOKUP(Tableau65[[#This Row],[Utilisateur]],Tableau3[[Prenoms (ID)]:[CABINET]],4,FALSE)</f>
        <v>0</v>
      </c>
    </row>
    <row r="507" spans="1:10" x14ac:dyDescent="0.25">
      <c r="A507" s="40">
        <v>45643</v>
      </c>
      <c r="B507" t="s">
        <v>28</v>
      </c>
      <c r="C507" s="44">
        <v>1</v>
      </c>
      <c r="D507" s="43" t="s">
        <v>49</v>
      </c>
      <c r="G507" t="s">
        <v>150</v>
      </c>
      <c r="H507" s="35" t="str">
        <f>VLOOKUP(Tableau65[[#This Row],[Utilisateur]],Tableau3[[Prenoms (ID)]:[Localisation]],2,FALSE)</f>
        <v>RECCI SGDB</v>
      </c>
      <c r="I507" s="35" t="str">
        <f>VLOOKUP(Tableau65[[#This Row],[Utilisateur]],Tableau3[[Prenoms (ID)]:[Localisation]],3,FALSE)</f>
        <v>BNI1</v>
      </c>
      <c r="J507" s="35">
        <f>VLOOKUP(Tableau65[[#This Row],[Utilisateur]],Tableau3[[Prenoms (ID)]:[CABINET]],4,FALSE)</f>
        <v>0</v>
      </c>
    </row>
    <row r="508" spans="1:10" x14ac:dyDescent="0.25">
      <c r="A508" s="40">
        <v>45643</v>
      </c>
      <c r="B508" t="s">
        <v>28</v>
      </c>
      <c r="C508" s="44">
        <v>1</v>
      </c>
      <c r="D508" s="43" t="s">
        <v>49</v>
      </c>
      <c r="G508" t="s">
        <v>153</v>
      </c>
      <c r="H508" s="35" t="str">
        <f>VLOOKUP(Tableau65[[#This Row],[Utilisateur]],Tableau3[[Prenoms (ID)]:[Localisation]],2,FALSE)</f>
        <v>Optique / Sata</v>
      </c>
      <c r="I508" s="35" t="str">
        <f>VLOOKUP(Tableau65[[#This Row],[Utilisateur]],Tableau3[[Prenoms (ID)]:[Localisation]],3,FALSE)</f>
        <v>BNI1</v>
      </c>
      <c r="J508" s="35">
        <f>VLOOKUP(Tableau65[[#This Row],[Utilisateur]],Tableau3[[Prenoms (ID)]:[CABINET]],4,FALSE)</f>
        <v>0</v>
      </c>
    </row>
    <row r="509" spans="1:10" x14ac:dyDescent="0.25">
      <c r="A509" s="40">
        <v>45643</v>
      </c>
      <c r="B509" t="s">
        <v>28</v>
      </c>
      <c r="C509" s="44">
        <v>1</v>
      </c>
      <c r="D509" s="43" t="s">
        <v>49</v>
      </c>
      <c r="G509" t="s">
        <v>156</v>
      </c>
      <c r="H509" s="35" t="str">
        <f>VLOOKUP(Tableau65[[#This Row],[Utilisateur]],Tableau3[[Prenoms (ID)]:[Localisation]],2,FALSE)</f>
        <v>Optique / Mirado</v>
      </c>
      <c r="I509" s="35" t="str">
        <f>VLOOKUP(Tableau65[[#This Row],[Utilisateur]],Tableau3[[Prenoms (ID)]:[Localisation]],3,FALSE)</f>
        <v>BNI1</v>
      </c>
      <c r="J509" s="35">
        <f>VLOOKUP(Tableau65[[#This Row],[Utilisateur]],Tableau3[[Prenoms (ID)]:[CABINET]],4,FALSE)</f>
        <v>0</v>
      </c>
    </row>
    <row r="510" spans="1:10" x14ac:dyDescent="0.25">
      <c r="A510" s="40">
        <v>45643</v>
      </c>
      <c r="B510" t="s">
        <v>28</v>
      </c>
      <c r="C510" s="44">
        <v>1</v>
      </c>
      <c r="D510" s="43" t="s">
        <v>49</v>
      </c>
      <c r="G510" t="s">
        <v>159</v>
      </c>
      <c r="H510" s="35" t="str">
        <f>VLOOKUP(Tableau65[[#This Row],[Utilisateur]],Tableau3[[Prenoms (ID)]:[Localisation]],2,FALSE)</f>
        <v>Optique / Sata</v>
      </c>
      <c r="I510" s="35" t="str">
        <f>VLOOKUP(Tableau65[[#This Row],[Utilisateur]],Tableau3[[Prenoms (ID)]:[Localisation]],3,FALSE)</f>
        <v>BNI1</v>
      </c>
      <c r="J510" s="35">
        <f>VLOOKUP(Tableau65[[#This Row],[Utilisateur]],Tableau3[[Prenoms (ID)]:[CABINET]],4,FALSE)</f>
        <v>0</v>
      </c>
    </row>
    <row r="511" spans="1:10" x14ac:dyDescent="0.25">
      <c r="A511" s="40">
        <v>45643</v>
      </c>
      <c r="B511" t="s">
        <v>28</v>
      </c>
      <c r="C511" s="44">
        <v>1</v>
      </c>
      <c r="D511" s="43" t="s">
        <v>49</v>
      </c>
      <c r="G511" t="s">
        <v>162</v>
      </c>
      <c r="H511" s="35" t="str">
        <f>VLOOKUP(Tableau65[[#This Row],[Utilisateur]],Tableau3[[Prenoms (ID)]:[Localisation]],2,FALSE)</f>
        <v>Optique / Mirado</v>
      </c>
      <c r="I511" s="35" t="str">
        <f>VLOOKUP(Tableau65[[#This Row],[Utilisateur]],Tableau3[[Prenoms (ID)]:[Localisation]],3,FALSE)</f>
        <v>BNI1</v>
      </c>
      <c r="J511" s="35">
        <f>VLOOKUP(Tableau65[[#This Row],[Utilisateur]],Tableau3[[Prenoms (ID)]:[CABINET]],4,FALSE)</f>
        <v>0</v>
      </c>
    </row>
    <row r="512" spans="1:10" x14ac:dyDescent="0.25">
      <c r="A512" s="48">
        <v>45643</v>
      </c>
      <c r="B512" t="s">
        <v>54</v>
      </c>
      <c r="C512" s="6">
        <v>1</v>
      </c>
      <c r="D512" s="43" t="s">
        <v>49</v>
      </c>
      <c r="E512" t="s">
        <v>599</v>
      </c>
      <c r="G512" t="s">
        <v>148</v>
      </c>
      <c r="H512" s="35" t="str">
        <f>VLOOKUP(Tableau65[[#This Row],[Utilisateur]],Tableau3[[Prenoms (ID)]:[Localisation]],2,FALSE)</f>
        <v>RECCI SGDB</v>
      </c>
      <c r="I512" s="35" t="str">
        <f>VLOOKUP(Tableau65[[#This Row],[Utilisateur]],Tableau3[[Prenoms (ID)]:[Localisation]],3,FALSE)</f>
        <v>BNI1</v>
      </c>
      <c r="J512" s="35">
        <f>VLOOKUP(Tableau65[[#This Row],[Utilisateur]],Tableau3[[Prenoms (ID)]:[CABINET]],4,FALSE)</f>
        <v>0</v>
      </c>
    </row>
    <row r="513" spans="1:10" x14ac:dyDescent="0.25">
      <c r="A513" s="48">
        <v>45643</v>
      </c>
      <c r="B513" t="s">
        <v>54</v>
      </c>
      <c r="C513" s="6">
        <v>1</v>
      </c>
      <c r="D513" s="43" t="s">
        <v>49</v>
      </c>
      <c r="E513" t="s">
        <v>599</v>
      </c>
      <c r="G513" t="s">
        <v>150</v>
      </c>
      <c r="H513" s="35" t="str">
        <f>VLOOKUP(Tableau65[[#This Row],[Utilisateur]],Tableau3[[Prenoms (ID)]:[Localisation]],2,FALSE)</f>
        <v>RECCI SGDB</v>
      </c>
      <c r="I513" s="35" t="str">
        <f>VLOOKUP(Tableau65[[#This Row],[Utilisateur]],Tableau3[[Prenoms (ID)]:[Localisation]],3,FALSE)</f>
        <v>BNI1</v>
      </c>
      <c r="J513" s="35">
        <f>VLOOKUP(Tableau65[[#This Row],[Utilisateur]],Tableau3[[Prenoms (ID)]:[CABINET]],4,FALSE)</f>
        <v>0</v>
      </c>
    </row>
    <row r="514" spans="1:10" x14ac:dyDescent="0.25">
      <c r="A514" s="48">
        <v>45643</v>
      </c>
      <c r="B514" t="s">
        <v>54</v>
      </c>
      <c r="C514" s="6">
        <v>1</v>
      </c>
      <c r="D514" s="43" t="s">
        <v>49</v>
      </c>
      <c r="E514" t="s">
        <v>599</v>
      </c>
      <c r="G514" t="s">
        <v>166</v>
      </c>
      <c r="H514" s="35" t="str">
        <f>VLOOKUP(Tableau65[[#This Row],[Utilisateur]],Tableau3[[Prenoms (ID)]:[Localisation]],2,FALSE)</f>
        <v>ORANOVA</v>
      </c>
      <c r="I514" s="35" t="str">
        <f>VLOOKUP(Tableau65[[#This Row],[Utilisateur]],Tableau3[[Prenoms (ID)]:[Localisation]],3,FALSE)</f>
        <v>BNI1</v>
      </c>
      <c r="J514" s="35">
        <f>VLOOKUP(Tableau65[[#This Row],[Utilisateur]],Tableau3[[Prenoms (ID)]:[CABINET]],4,FALSE)</f>
        <v>0</v>
      </c>
    </row>
    <row r="515" spans="1:10" x14ac:dyDescent="0.25">
      <c r="A515" s="48">
        <v>45643</v>
      </c>
      <c r="B515" t="s">
        <v>54</v>
      </c>
      <c r="C515" s="6">
        <v>1</v>
      </c>
      <c r="D515" s="43" t="s">
        <v>49</v>
      </c>
      <c r="E515" t="s">
        <v>599</v>
      </c>
      <c r="G515" t="s">
        <v>156</v>
      </c>
      <c r="H515" s="35" t="str">
        <f>VLOOKUP(Tableau65[[#This Row],[Utilisateur]],Tableau3[[Prenoms (ID)]:[Localisation]],2,FALSE)</f>
        <v>Optique / Mirado</v>
      </c>
      <c r="I515" s="35" t="str">
        <f>VLOOKUP(Tableau65[[#This Row],[Utilisateur]],Tableau3[[Prenoms (ID)]:[Localisation]],3,FALSE)</f>
        <v>BNI1</v>
      </c>
      <c r="J515" s="35">
        <f>VLOOKUP(Tableau65[[#This Row],[Utilisateur]],Tableau3[[Prenoms (ID)]:[CABINET]],4,FALSE)</f>
        <v>0</v>
      </c>
    </row>
    <row r="516" spans="1:10" x14ac:dyDescent="0.25">
      <c r="A516" s="48">
        <v>45643</v>
      </c>
      <c r="B516" t="s">
        <v>54</v>
      </c>
      <c r="C516" s="6">
        <v>1</v>
      </c>
      <c r="D516" s="43" t="s">
        <v>49</v>
      </c>
      <c r="E516" t="s">
        <v>599</v>
      </c>
      <c r="G516" t="s">
        <v>168</v>
      </c>
      <c r="H516" s="35" t="str">
        <f>VLOOKUP(Tableau65[[#This Row],[Utilisateur]],Tableau3[[Prenoms (ID)]:[Localisation]],2,FALSE)</f>
        <v>RECCI / Daniel</v>
      </c>
      <c r="I516" s="35" t="str">
        <f>VLOOKUP(Tableau65[[#This Row],[Utilisateur]],Tableau3[[Prenoms (ID)]:[Localisation]],3,FALSE)</f>
        <v>BNI1</v>
      </c>
      <c r="J516" s="35">
        <f>VLOOKUP(Tableau65[[#This Row],[Utilisateur]],Tableau3[[Prenoms (ID)]:[CABINET]],4,FALSE)</f>
        <v>0</v>
      </c>
    </row>
    <row r="517" spans="1:10" x14ac:dyDescent="0.25">
      <c r="A517" s="48">
        <v>45643</v>
      </c>
      <c r="B517" t="s">
        <v>54</v>
      </c>
      <c r="C517" s="6">
        <v>1</v>
      </c>
      <c r="D517" s="43" t="s">
        <v>49</v>
      </c>
      <c r="E517" t="s">
        <v>599</v>
      </c>
      <c r="G517" t="s">
        <v>236</v>
      </c>
      <c r="H517" s="35" t="str">
        <f>VLOOKUP(Tableau65[[#This Row],[Utilisateur]],Tableau3[[Prenoms (ID)]:[Localisation]],2,FALSE)</f>
        <v>RUEIL</v>
      </c>
      <c r="I517" s="35" t="str">
        <f>VLOOKUP(Tableau65[[#This Row],[Utilisateur]],Tableau3[[Prenoms (ID)]:[Localisation]],3,FALSE)</f>
        <v>BNI1</v>
      </c>
      <c r="J517" s="35">
        <f>VLOOKUP(Tableau65[[#This Row],[Utilisateur]],Tableau3[[Prenoms (ID)]:[CABINET]],4,FALSE)</f>
        <v>0</v>
      </c>
    </row>
    <row r="518" spans="1:10" x14ac:dyDescent="0.25">
      <c r="A518" s="48">
        <v>45643</v>
      </c>
      <c r="B518" t="s">
        <v>54</v>
      </c>
      <c r="C518" s="6">
        <v>1</v>
      </c>
      <c r="D518" s="43" t="s">
        <v>49</v>
      </c>
      <c r="E518" t="s">
        <v>599</v>
      </c>
      <c r="G518" t="s">
        <v>239</v>
      </c>
      <c r="H518" s="35" t="str">
        <f>VLOOKUP(Tableau65[[#This Row],[Utilisateur]],Tableau3[[Prenoms (ID)]:[Localisation]],2,FALSE)</f>
        <v>Optique / Mirado</v>
      </c>
      <c r="I518" s="35" t="str">
        <f>VLOOKUP(Tableau65[[#This Row],[Utilisateur]],Tableau3[[Prenoms (ID)]:[Localisation]],3,FALSE)</f>
        <v>BNI1</v>
      </c>
      <c r="J518" s="35">
        <f>VLOOKUP(Tableau65[[#This Row],[Utilisateur]],Tableau3[[Prenoms (ID)]:[CABINET]],4,FALSE)</f>
        <v>0</v>
      </c>
    </row>
    <row r="519" spans="1:10" x14ac:dyDescent="0.25">
      <c r="A519" s="48">
        <v>45643</v>
      </c>
      <c r="B519" t="s">
        <v>25</v>
      </c>
      <c r="C519" s="6">
        <v>2</v>
      </c>
      <c r="D519" t="s">
        <v>49</v>
      </c>
      <c r="E519" t="s">
        <v>600</v>
      </c>
      <c r="H519" s="35" t="e">
        <f>VLOOKUP(Tableau65[[#This Row],[Utilisateur]],Tableau3[[Prenoms (ID)]:[Localisation]],2,FALSE)</f>
        <v>#N/A</v>
      </c>
      <c r="I519" s="35" t="e">
        <f>VLOOKUP(Tableau65[[#This Row],[Utilisateur]],Tableau3[[Prenoms (ID)]:[Localisation]],3,FALSE)</f>
        <v>#N/A</v>
      </c>
      <c r="J519" s="35" t="e">
        <f>VLOOKUP(Tableau65[[#This Row],[Utilisateur]],Tableau3[[Prenoms (ID)]:[CABINET]],4,FALSE)</f>
        <v>#N/A</v>
      </c>
    </row>
    <row r="520" spans="1:10" x14ac:dyDescent="0.25">
      <c r="A520" s="48">
        <v>45643</v>
      </c>
      <c r="B520" t="s">
        <v>52</v>
      </c>
      <c r="C520" s="57">
        <v>1</v>
      </c>
      <c r="D520" s="43" t="s">
        <v>49</v>
      </c>
      <c r="E520" t="s">
        <v>599</v>
      </c>
      <c r="G520" t="s">
        <v>148</v>
      </c>
      <c r="H520" s="35" t="str">
        <f>VLOOKUP(Tableau65[[#This Row],[Utilisateur]],Tableau3[[Prenoms (ID)]:[Localisation]],2,FALSE)</f>
        <v>RECCI SGDB</v>
      </c>
      <c r="I520" s="35" t="str">
        <f>VLOOKUP(Tableau65[[#This Row],[Utilisateur]],Tableau3[[Prenoms (ID)]:[Localisation]],3,FALSE)</f>
        <v>BNI1</v>
      </c>
      <c r="J520" s="35">
        <f>VLOOKUP(Tableau65[[#This Row],[Utilisateur]],Tableau3[[Prenoms (ID)]:[CABINET]],4,FALSE)</f>
        <v>0</v>
      </c>
    </row>
    <row r="521" spans="1:10" x14ac:dyDescent="0.25">
      <c r="A521" s="48">
        <v>45643</v>
      </c>
      <c r="B521" t="s">
        <v>52</v>
      </c>
      <c r="C521" s="57">
        <v>1</v>
      </c>
      <c r="G521" t="s">
        <v>601</v>
      </c>
      <c r="H521" s="35" t="str">
        <f>VLOOKUP(Tableau65[[#This Row],[Utilisateur]],Tableau3[[Prenoms (ID)]:[Localisation]],2,FALSE)</f>
        <v>-</v>
      </c>
      <c r="I521" s="35" t="str">
        <f>VLOOKUP(Tableau65[[#This Row],[Utilisateur]],Tableau3[[Prenoms (ID)]:[Localisation]],3,FALSE)</f>
        <v>BIRA</v>
      </c>
      <c r="J521" s="35">
        <f>VLOOKUP(Tableau65[[#This Row],[Utilisateur]],Tableau3[[Prenoms (ID)]:[CABINET]],4,FALSE)</f>
        <v>0</v>
      </c>
    </row>
    <row r="522" spans="1:10" x14ac:dyDescent="0.25">
      <c r="A522" s="48">
        <v>45643</v>
      </c>
      <c r="B522" t="s">
        <v>52</v>
      </c>
      <c r="C522" s="57">
        <v>1</v>
      </c>
      <c r="D522" s="43" t="s">
        <v>49</v>
      </c>
      <c r="E522" t="s">
        <v>599</v>
      </c>
      <c r="G522" t="s">
        <v>156</v>
      </c>
      <c r="H522" s="35" t="str">
        <f>VLOOKUP(Tableau65[[#This Row],[Utilisateur]],Tableau3[[Prenoms (ID)]:[Localisation]],2,FALSE)</f>
        <v>Optique / Mirado</v>
      </c>
      <c r="I522" s="35" t="str">
        <f>VLOOKUP(Tableau65[[#This Row],[Utilisateur]],Tableau3[[Prenoms (ID)]:[Localisation]],3,FALSE)</f>
        <v>BNI1</v>
      </c>
      <c r="J522" s="35">
        <f>VLOOKUP(Tableau65[[#This Row],[Utilisateur]],Tableau3[[Prenoms (ID)]:[CABINET]],4,FALSE)</f>
        <v>0</v>
      </c>
    </row>
    <row r="523" spans="1:10" x14ac:dyDescent="0.25">
      <c r="A523" s="48">
        <v>45644</v>
      </c>
      <c r="B523" t="s">
        <v>52</v>
      </c>
      <c r="C523" s="57">
        <v>1</v>
      </c>
      <c r="D523" s="43" t="s">
        <v>49</v>
      </c>
      <c r="E523" t="s">
        <v>599</v>
      </c>
      <c r="G523" t="s">
        <v>153</v>
      </c>
      <c r="H523" s="35" t="str">
        <f>VLOOKUP(Tableau65[[#This Row],[Utilisateur]],Tableau3[[Prenoms (ID)]:[Localisation]],2,FALSE)</f>
        <v>Optique / Sata</v>
      </c>
      <c r="I523" s="35" t="str">
        <f>VLOOKUP(Tableau65[[#This Row],[Utilisateur]],Tableau3[[Prenoms (ID)]:[Localisation]],3,FALSE)</f>
        <v>BNI1</v>
      </c>
      <c r="J523" s="35">
        <f>VLOOKUP(Tableau65[[#This Row],[Utilisateur]],Tableau3[[Prenoms (ID)]:[CABINET]],4,FALSE)</f>
        <v>0</v>
      </c>
    </row>
    <row r="524" spans="1:10" x14ac:dyDescent="0.25">
      <c r="A524" s="40">
        <v>45644</v>
      </c>
      <c r="B524" s="27" t="s">
        <v>165</v>
      </c>
      <c r="C524" s="6">
        <v>1</v>
      </c>
      <c r="D524" t="s">
        <v>49</v>
      </c>
      <c r="G524" t="s">
        <v>166</v>
      </c>
      <c r="H524" s="35" t="str">
        <f>VLOOKUP(Tableau65[[#This Row],[Utilisateur]],Tableau3[[Prenoms (ID)]:[Localisation]],2,FALSE)</f>
        <v>ORANOVA</v>
      </c>
      <c r="I524" s="35" t="str">
        <f>VLOOKUP(Tableau65[[#This Row],[Utilisateur]],Tableau3[[Prenoms (ID)]:[Localisation]],3,FALSE)</f>
        <v>BNI1</v>
      </c>
      <c r="J524" s="35">
        <f>VLOOKUP(Tableau65[[#This Row],[Utilisateur]],Tableau3[[Prenoms (ID)]:[CABINET]],4,FALSE)</f>
        <v>0</v>
      </c>
    </row>
    <row r="525" spans="1:10" x14ac:dyDescent="0.25">
      <c r="A525" s="40">
        <v>45644</v>
      </c>
      <c r="B525" t="s">
        <v>28</v>
      </c>
      <c r="C525" s="44">
        <v>1</v>
      </c>
      <c r="D525" s="43" t="s">
        <v>49</v>
      </c>
      <c r="G525" t="s">
        <v>166</v>
      </c>
      <c r="H525" s="35" t="str">
        <f>VLOOKUP(Tableau65[[#This Row],[Utilisateur]],Tableau3[[Prenoms (ID)]:[Localisation]],2,FALSE)</f>
        <v>ORANOVA</v>
      </c>
      <c r="I525" s="35" t="str">
        <f>VLOOKUP(Tableau65[[#This Row],[Utilisateur]],Tableau3[[Prenoms (ID)]:[Localisation]],3,FALSE)</f>
        <v>BNI1</v>
      </c>
      <c r="J525" s="35">
        <f>VLOOKUP(Tableau65[[#This Row],[Utilisateur]],Tableau3[[Prenoms (ID)]:[CABINET]],4,FALSE)</f>
        <v>0</v>
      </c>
    </row>
    <row r="526" spans="1:10" x14ac:dyDescent="0.25">
      <c r="A526" s="51">
        <v>45644</v>
      </c>
      <c r="B526" t="s">
        <v>54</v>
      </c>
      <c r="C526" s="6">
        <v>1</v>
      </c>
      <c r="D526" s="43" t="s">
        <v>49</v>
      </c>
      <c r="E526" t="s">
        <v>599</v>
      </c>
      <c r="G526" t="s">
        <v>153</v>
      </c>
      <c r="H526" s="35" t="str">
        <f>VLOOKUP(Tableau65[[#This Row],[Utilisateur]],Tableau3[[Prenoms (ID)]:[Localisation]],2,FALSE)</f>
        <v>Optique / Sata</v>
      </c>
      <c r="I526" s="35" t="str">
        <f>VLOOKUP(Tableau65[[#This Row],[Utilisateur]],Tableau3[[Prenoms (ID)]:[Localisation]],3,FALSE)</f>
        <v>BNI1</v>
      </c>
      <c r="J526" s="35">
        <f>VLOOKUP(Tableau65[[#This Row],[Utilisateur]],Tableau3[[Prenoms (ID)]:[CABINET]],4,FALSE)</f>
        <v>0</v>
      </c>
    </row>
    <row r="527" spans="1:10" x14ac:dyDescent="0.25">
      <c r="A527" s="47">
        <v>45644</v>
      </c>
      <c r="B527" t="s">
        <v>64</v>
      </c>
      <c r="C527" s="6">
        <v>1</v>
      </c>
      <c r="D527" t="s">
        <v>49</v>
      </c>
      <c r="E527" t="s">
        <v>602</v>
      </c>
      <c r="G527" t="s">
        <v>311</v>
      </c>
      <c r="H527" s="35" t="str">
        <f>VLOOKUP(Tableau65[[#This Row],[Utilisateur]],Tableau3[[Prenoms (ID)]:[Localisation]],2,FALSE)</f>
        <v>-</v>
      </c>
      <c r="I527" s="35" t="str">
        <f>VLOOKUP(Tableau65[[#This Row],[Utilisateur]],Tableau3[[Prenoms (ID)]:[Localisation]],3,FALSE)</f>
        <v>-</v>
      </c>
      <c r="J527" s="35">
        <f>VLOOKUP(Tableau65[[#This Row],[Utilisateur]],Tableau3[[Prenoms (ID)]:[CABINET]],4,FALSE)</f>
        <v>0</v>
      </c>
    </row>
    <row r="528" spans="1:10" x14ac:dyDescent="0.25">
      <c r="A528" s="48">
        <v>45645</v>
      </c>
      <c r="B528" t="s">
        <v>52</v>
      </c>
      <c r="C528" s="57">
        <v>1</v>
      </c>
      <c r="G528" t="s">
        <v>603</v>
      </c>
      <c r="H528" s="35" t="str">
        <f>VLOOKUP(Tableau65[[#This Row],[Utilisateur]],Tableau3[[Prenoms (ID)]:[Localisation]],2,FALSE)</f>
        <v>Informatique</v>
      </c>
      <c r="I528" s="35" t="str">
        <f>VLOOKUP(Tableau65[[#This Row],[Utilisateur]],Tableau3[[Prenoms (ID)]:[Localisation]],3,FALSE)</f>
        <v>BNI1</v>
      </c>
      <c r="J528" s="35">
        <f>VLOOKUP(Tableau65[[#This Row],[Utilisateur]],Tableau3[[Prenoms (ID)]:[CABINET]],4,FALSE)</f>
        <v>0</v>
      </c>
    </row>
    <row r="529" spans="1:13" x14ac:dyDescent="0.25">
      <c r="A529" s="48">
        <v>45554</v>
      </c>
      <c r="B529" t="s">
        <v>24</v>
      </c>
      <c r="C529" s="6">
        <v>1</v>
      </c>
      <c r="D529" t="s">
        <v>49</v>
      </c>
      <c r="G529" t="s">
        <v>604</v>
      </c>
      <c r="H529" t="str">
        <f>VLOOKUP(Tableau65[[#This Row],[Utilisateur]],Tableau3[[Prenoms (ID)]:[Localisation]],2,FALSE)</f>
        <v>RECCI / Njato Be</v>
      </c>
      <c r="I529" t="str">
        <f>VLOOKUP(Tableau65[[#This Row],[Utilisateur]],Tableau3[[Prenoms (ID)]:[Localisation]],3,FALSE)</f>
        <v>BNI2</v>
      </c>
      <c r="J529">
        <f>VLOOKUP(Tableau65[[#This Row],[Utilisateur]],Tableau3[[Prenoms (ID)]:[CABINET]],4,FALSE)</f>
        <v>0</v>
      </c>
    </row>
    <row r="530" spans="1:13" x14ac:dyDescent="0.25">
      <c r="A530" s="48">
        <v>45663</v>
      </c>
      <c r="B530" t="s">
        <v>52</v>
      </c>
      <c r="C530" s="57">
        <v>1</v>
      </c>
      <c r="D530" s="43" t="s">
        <v>49</v>
      </c>
      <c r="E530" t="s">
        <v>599</v>
      </c>
      <c r="G530" t="s">
        <v>196</v>
      </c>
      <c r="H530" s="35" t="str">
        <f>VLOOKUP(Tableau65[[#This Row],[Utilisateur]],Tableau3[[Prenoms (ID)]:[Localisation]],2,FALSE)</f>
        <v>AUDIT CPA</v>
      </c>
      <c r="I530" s="35" t="str">
        <f>VLOOKUP(Tableau65[[#This Row],[Utilisateur]],Tableau3[[Prenoms (ID)]:[Localisation]],3,FALSE)</f>
        <v>MADAFIT</v>
      </c>
      <c r="J530" s="35">
        <f>VLOOKUP(Tableau65[[#This Row],[Utilisateur]],Tableau3[[Prenoms (ID)]:[CABINET]],4,FALSE)</f>
        <v>0</v>
      </c>
    </row>
    <row r="531" spans="1:13" x14ac:dyDescent="0.25">
      <c r="A531" s="48">
        <v>45663</v>
      </c>
      <c r="B531" t="s">
        <v>52</v>
      </c>
      <c r="C531" s="57">
        <v>1</v>
      </c>
      <c r="D531" s="43" t="s">
        <v>49</v>
      </c>
      <c r="E531" t="s">
        <v>599</v>
      </c>
      <c r="G531" t="s">
        <v>193</v>
      </c>
      <c r="H531" s="35" t="str">
        <f>VLOOKUP(Tableau65[[#This Row],[Utilisateur]],Tableau3[[Prenoms (ID)]:[Localisation]],2,FALSE)</f>
        <v>AUDIT CPA</v>
      </c>
      <c r="I531" s="35" t="str">
        <f>VLOOKUP(Tableau65[[#This Row],[Utilisateur]],Tableau3[[Prenoms (ID)]:[Localisation]],3,FALSE)</f>
        <v>MADAFIT</v>
      </c>
      <c r="J531" s="35">
        <f>VLOOKUP(Tableau65[[#This Row],[Utilisateur]],Tableau3[[Prenoms (ID)]:[CABINET]],4,FALSE)</f>
        <v>0</v>
      </c>
    </row>
    <row r="532" spans="1:13" x14ac:dyDescent="0.25">
      <c r="A532" s="48">
        <v>45663</v>
      </c>
      <c r="B532" t="s">
        <v>52</v>
      </c>
      <c r="C532" s="57">
        <v>1</v>
      </c>
      <c r="D532" s="43" t="s">
        <v>49</v>
      </c>
      <c r="E532" t="s">
        <v>599</v>
      </c>
      <c r="G532" t="s">
        <v>212</v>
      </c>
      <c r="H532" s="35">
        <f>VLOOKUP(Tableau65[[#This Row],[Utilisateur]],Tableau3[[Prenoms (ID)]:[Localisation]],2,FALSE)</f>
        <v>0</v>
      </c>
      <c r="I532" s="35">
        <f>VLOOKUP(Tableau65[[#This Row],[Utilisateur]],Tableau3[[Prenoms (ID)]:[Localisation]],3,FALSE)</f>
        <v>0</v>
      </c>
      <c r="J532" s="35">
        <f>VLOOKUP(Tableau65[[#This Row],[Utilisateur]],Tableau3[[Prenoms (ID)]:[CABINET]],4,FALSE)</f>
        <v>0</v>
      </c>
    </row>
    <row r="533" spans="1:13" x14ac:dyDescent="0.25">
      <c r="A533" s="48">
        <v>45663</v>
      </c>
      <c r="B533" t="s">
        <v>52</v>
      </c>
      <c r="C533" s="57">
        <v>1</v>
      </c>
      <c r="D533" s="43" t="s">
        <v>49</v>
      </c>
      <c r="E533" t="s">
        <v>599</v>
      </c>
      <c r="G533" t="s">
        <v>208</v>
      </c>
      <c r="H533" s="35" t="str">
        <f>VLOOKUP(Tableau65[[#This Row],[Utilisateur]],Tableau3[[Prenoms (ID)]:[Localisation]],2,FALSE)</f>
        <v>Comptastar</v>
      </c>
      <c r="I533" s="35" t="str">
        <f>VLOOKUP(Tableau65[[#This Row],[Utilisateur]],Tableau3[[Prenoms (ID)]:[Localisation]],3,FALSE)</f>
        <v>CENTRE</v>
      </c>
      <c r="J533" s="35">
        <f>VLOOKUP(Tableau65[[#This Row],[Utilisateur]],Tableau3[[Prenoms (ID)]:[CABINET]],4,FALSE)</f>
        <v>0</v>
      </c>
    </row>
    <row r="534" spans="1:13" x14ac:dyDescent="0.25">
      <c r="A534" s="48">
        <v>45663</v>
      </c>
      <c r="B534" t="s">
        <v>52</v>
      </c>
      <c r="C534" s="57">
        <v>1</v>
      </c>
      <c r="D534" s="43" t="s">
        <v>49</v>
      </c>
      <c r="E534" t="s">
        <v>599</v>
      </c>
      <c r="G534" t="s">
        <v>242</v>
      </c>
      <c r="H534" s="35" t="str">
        <f>VLOOKUP(Tableau65[[#This Row],[Utilisateur]],Tableau3[[Prenoms (ID)]:[Localisation]],2,FALSE)</f>
        <v>ORANOVA</v>
      </c>
      <c r="I534" s="35" t="str">
        <f>VLOOKUP(Tableau65[[#This Row],[Utilisateur]],Tableau3[[Prenoms (ID)]:[Localisation]],3,FALSE)</f>
        <v>BNI1</v>
      </c>
      <c r="J534" s="35">
        <f>VLOOKUP(Tableau65[[#This Row],[Utilisateur]],Tableau3[[Prenoms (ID)]:[CABINET]],4,FALSE)</f>
        <v>0</v>
      </c>
    </row>
    <row r="535" spans="1:13" x14ac:dyDescent="0.25">
      <c r="A535" s="48">
        <v>45663</v>
      </c>
      <c r="B535" t="s">
        <v>52</v>
      </c>
      <c r="C535" s="57">
        <v>1</v>
      </c>
      <c r="D535" s="43" t="s">
        <v>49</v>
      </c>
      <c r="E535" t="s">
        <v>599</v>
      </c>
      <c r="G535" t="s">
        <v>183</v>
      </c>
      <c r="H535" s="35" t="str">
        <f>VLOOKUP(Tableau65[[#This Row],[Utilisateur]],Tableau3[[Prenoms (ID)]:[Localisation]],2,FALSE)</f>
        <v>TIIME</v>
      </c>
      <c r="I535" s="35">
        <f>VLOOKUP(Tableau65[[#This Row],[Utilisateur]],Tableau3[[Prenoms (ID)]:[Localisation]],3,FALSE)</f>
        <v>0</v>
      </c>
      <c r="J535" s="35">
        <f>VLOOKUP(Tableau65[[#This Row],[Utilisateur]],Tableau3[[Prenoms (ID)]:[CABINET]],4,FALSE)</f>
        <v>0</v>
      </c>
    </row>
    <row r="536" spans="1:13" x14ac:dyDescent="0.25">
      <c r="A536" s="48">
        <v>45663</v>
      </c>
      <c r="B536" t="s">
        <v>52</v>
      </c>
      <c r="C536" s="57">
        <v>1</v>
      </c>
      <c r="D536" s="43" t="s">
        <v>49</v>
      </c>
      <c r="E536" t="s">
        <v>599</v>
      </c>
      <c r="G536" t="s">
        <v>216</v>
      </c>
      <c r="H536" s="35">
        <f>VLOOKUP(Tableau65[[#This Row],[Utilisateur]],Tableau3[[Prenoms (ID)]:[Localisation]],2,FALSE)</f>
        <v>0</v>
      </c>
      <c r="I536" s="35" t="str">
        <f>VLOOKUP(Tableau65[[#This Row],[Utilisateur]],Tableau3[[Prenoms (ID)]:[Localisation]],3,FALSE)</f>
        <v>CENTRE</v>
      </c>
      <c r="J536" s="35">
        <f>VLOOKUP(Tableau65[[#This Row],[Utilisateur]],Tableau3[[Prenoms (ID)]:[CABINET]],4,FALSE)</f>
        <v>0</v>
      </c>
    </row>
    <row r="537" spans="1:13" x14ac:dyDescent="0.25">
      <c r="A537" s="48">
        <v>45663</v>
      </c>
      <c r="B537" t="s">
        <v>52</v>
      </c>
      <c r="C537" s="57">
        <v>1</v>
      </c>
      <c r="D537" s="43" t="s">
        <v>49</v>
      </c>
      <c r="E537" t="s">
        <v>599</v>
      </c>
      <c r="G537" t="s">
        <v>186</v>
      </c>
      <c r="H537" s="35" t="str">
        <f>VLOOKUP(Tableau65[[#This Row],[Utilisateur]],Tableau3[[Prenoms (ID)]:[Localisation]],2,FALSE)</f>
        <v>ACCEFI</v>
      </c>
      <c r="I537" s="35" t="str">
        <f>VLOOKUP(Tableau65[[#This Row],[Utilisateur]],Tableau3[[Prenoms (ID)]:[Localisation]],3,FALSE)</f>
        <v>MADAFIT</v>
      </c>
      <c r="J537" s="35">
        <f>VLOOKUP(Tableau65[[#This Row],[Utilisateur]],Tableau3[[Prenoms (ID)]:[CABINET]],4,FALSE)</f>
        <v>0</v>
      </c>
    </row>
    <row r="538" spans="1:13" x14ac:dyDescent="0.25">
      <c r="A538" s="48">
        <v>45663</v>
      </c>
      <c r="B538" t="s">
        <v>52</v>
      </c>
      <c r="C538" s="57">
        <v>1</v>
      </c>
      <c r="D538" s="43" t="s">
        <v>49</v>
      </c>
      <c r="E538" t="s">
        <v>599</v>
      </c>
      <c r="G538" t="s">
        <v>218</v>
      </c>
      <c r="H538" s="35" t="str">
        <f>VLOOKUP(Tableau65[[#This Row],[Utilisateur]],Tableau3[[Prenoms (ID)]:[Localisation]],2,FALSE)</f>
        <v>ECCENTIVE</v>
      </c>
      <c r="I538" s="35" t="str">
        <f>VLOOKUP(Tableau65[[#This Row],[Utilisateur]],Tableau3[[Prenoms (ID)]:[Localisation]],3,FALSE)</f>
        <v>CENTRE</v>
      </c>
      <c r="J538" s="35">
        <f>VLOOKUP(Tableau65[[#This Row],[Utilisateur]],Tableau3[[Prenoms (ID)]:[CABINET]],4,FALSE)</f>
        <v>0</v>
      </c>
    </row>
    <row r="539" spans="1:13" x14ac:dyDescent="0.25">
      <c r="A539" s="48">
        <v>45663</v>
      </c>
      <c r="B539" t="s">
        <v>52</v>
      </c>
      <c r="C539" s="57">
        <v>1</v>
      </c>
      <c r="D539" s="43" t="s">
        <v>49</v>
      </c>
      <c r="E539" t="s">
        <v>599</v>
      </c>
      <c r="G539" t="s">
        <v>234</v>
      </c>
      <c r="H539" s="35" t="str">
        <f>VLOOKUP(Tableau65[[#This Row],[Utilisateur]],Tableau3[[Prenoms (ID)]:[Localisation]],2,FALSE)</f>
        <v>RUEIL</v>
      </c>
      <c r="I539" s="35" t="str">
        <f>VLOOKUP(Tableau65[[#This Row],[Utilisateur]],Tableau3[[Prenoms (ID)]:[Localisation]],3,FALSE)</f>
        <v>BNI1</v>
      </c>
      <c r="J539" s="35">
        <f>VLOOKUP(Tableau65[[#This Row],[Utilisateur]],Tableau3[[Prenoms (ID)]:[CABINET]],4,FALSE)</f>
        <v>0</v>
      </c>
    </row>
    <row r="540" spans="1:13" x14ac:dyDescent="0.25">
      <c r="A540" s="48">
        <v>45663</v>
      </c>
      <c r="B540" t="s">
        <v>52</v>
      </c>
      <c r="C540" s="57">
        <v>1</v>
      </c>
      <c r="D540" s="43" t="s">
        <v>49</v>
      </c>
      <c r="E540" t="s">
        <v>599</v>
      </c>
      <c r="G540" s="12" t="s">
        <v>175</v>
      </c>
      <c r="H540" s="35" t="str">
        <f>VLOOKUP(Tableau65[[#This Row],[Utilisateur]],Tableau3[[Prenoms (ID)]:[Localisation]],2,FALSE)</f>
        <v>EXAULIA</v>
      </c>
      <c r="I540" s="35" t="str">
        <f>VLOOKUP(Tableau65[[#This Row],[Utilisateur]],Tableau3[[Prenoms (ID)]:[Localisation]],3,FALSE)</f>
        <v>BNI1</v>
      </c>
      <c r="J540" s="35">
        <f>VLOOKUP(Tableau65[[#This Row],[Utilisateur]],Tableau3[[Prenoms (ID)]:[CABINET]],4,FALSE)</f>
        <v>0</v>
      </c>
    </row>
    <row r="541" spans="1:13" x14ac:dyDescent="0.25">
      <c r="A541" s="48">
        <v>45663</v>
      </c>
      <c r="B541" t="s">
        <v>52</v>
      </c>
      <c r="C541" s="57">
        <v>1</v>
      </c>
      <c r="D541" s="43" t="s">
        <v>49</v>
      </c>
      <c r="E541" t="s">
        <v>599</v>
      </c>
      <c r="G541" t="s">
        <v>214</v>
      </c>
      <c r="H541" s="35" t="str">
        <f>VLOOKUP(Tableau65[[#This Row],[Utilisateur]],Tableau3[[Prenoms (ID)]:[Localisation]],2,FALSE)</f>
        <v>ACCEFI</v>
      </c>
      <c r="I541" s="35" t="str">
        <f>VLOOKUP(Tableau65[[#This Row],[Utilisateur]],Tableau3[[Prenoms (ID)]:[Localisation]],3,FALSE)</f>
        <v>CENTRE</v>
      </c>
      <c r="J541" s="35">
        <f>VLOOKUP(Tableau65[[#This Row],[Utilisateur]],Tableau3[[Prenoms (ID)]:[CABINET]],4,FALSE)</f>
        <v>0</v>
      </c>
    </row>
    <row r="542" spans="1:13" x14ac:dyDescent="0.25">
      <c r="A542" s="48">
        <v>45663</v>
      </c>
      <c r="B542" t="s">
        <v>52</v>
      </c>
      <c r="C542" s="57">
        <v>1</v>
      </c>
      <c r="D542" s="43" t="s">
        <v>49</v>
      </c>
      <c r="E542" t="s">
        <v>599</v>
      </c>
      <c r="G542" t="s">
        <v>179</v>
      </c>
      <c r="H542" s="35" t="str">
        <f>VLOOKUP(Tableau65[[#This Row],[Utilisateur]],Tableau3[[Prenoms (ID)]:[Localisation]],2,FALSE)</f>
        <v>ECCENTIVE</v>
      </c>
      <c r="I542" s="35" t="str">
        <f>VLOOKUP(Tableau65[[#This Row],[Utilisateur]],Tableau3[[Prenoms (ID)]:[Localisation]],3,FALSE)</f>
        <v>MADAFIT</v>
      </c>
      <c r="J542" s="35">
        <f>VLOOKUP(Tableau65[[#This Row],[Utilisateur]],Tableau3[[Prenoms (ID)]:[CABINET]],4,FALSE)</f>
        <v>0</v>
      </c>
    </row>
    <row r="543" spans="1:13" x14ac:dyDescent="0.25">
      <c r="A543" s="60">
        <v>45663</v>
      </c>
      <c r="B543" s="29" t="s">
        <v>25</v>
      </c>
      <c r="C543" s="30">
        <v>1</v>
      </c>
      <c r="D543" s="29" t="s">
        <v>49</v>
      </c>
      <c r="E543" s="29"/>
      <c r="F543" s="29"/>
      <c r="G543" s="29" t="s">
        <v>605</v>
      </c>
      <c r="H543" s="29" t="str">
        <f>VLOOKUP(Tableau65[[#This Row],[Utilisateur]],Tableau3[[Prenoms (ID)]:[Localisation]],2,FALSE)</f>
        <v>Axa</v>
      </c>
      <c r="I543" s="29" t="str">
        <f>VLOOKUP(Tableau65[[#This Row],[Utilisateur]],Tableau3[[Prenoms (ID)]:[Localisation]],3,FALSE)</f>
        <v>BNI1</v>
      </c>
      <c r="J543" s="29">
        <f>VLOOKUP(Tableau65[[#This Row],[Utilisateur]],Tableau3[[Prenoms (ID)]:[CABINET]],4,FALSE)</f>
        <v>0</v>
      </c>
      <c r="K543" s="29"/>
      <c r="L543" s="29"/>
      <c r="M543" s="29"/>
    </row>
    <row r="544" spans="1:13" x14ac:dyDescent="0.25">
      <c r="A544" s="46">
        <v>45663</v>
      </c>
      <c r="B544" s="27" t="s">
        <v>149</v>
      </c>
      <c r="C544" s="6">
        <v>1</v>
      </c>
      <c r="D544" t="s">
        <v>49</v>
      </c>
      <c r="G544" t="s">
        <v>168</v>
      </c>
      <c r="H544" s="35" t="str">
        <f>VLOOKUP(Tableau65[[#This Row],[Utilisateur]],Tableau3[[Prenoms (ID)]:[Localisation]],2,FALSE)</f>
        <v>RECCI / Daniel</v>
      </c>
      <c r="I544" s="35" t="str">
        <f>VLOOKUP(Tableau65[[#This Row],[Utilisateur]],Tableau3[[Prenoms (ID)]:[Localisation]],3,FALSE)</f>
        <v>BNI1</v>
      </c>
      <c r="J544" s="35">
        <f>VLOOKUP(Tableau65[[#This Row],[Utilisateur]],Tableau3[[Prenoms (ID)]:[CABINET]],4,FALSE)</f>
        <v>0</v>
      </c>
    </row>
    <row r="545" spans="1:10" x14ac:dyDescent="0.25">
      <c r="A545" s="46">
        <v>45663</v>
      </c>
      <c r="B545" s="27" t="s">
        <v>170</v>
      </c>
      <c r="C545" s="6">
        <v>1</v>
      </c>
      <c r="D545" t="s">
        <v>49</v>
      </c>
      <c r="G545" t="s">
        <v>171</v>
      </c>
      <c r="H545" s="35" t="str">
        <f>VLOOKUP(Tableau65[[#This Row],[Utilisateur]],Tableau3[[Prenoms (ID)]:[Localisation]],2,FALSE)</f>
        <v>EXAULIA</v>
      </c>
      <c r="I545" s="35" t="str">
        <f>VLOOKUP(Tableau65[[#This Row],[Utilisateur]],Tableau3[[Prenoms (ID)]:[Localisation]],3,FALSE)</f>
        <v>BNI1</v>
      </c>
      <c r="J545" s="35">
        <f>VLOOKUP(Tableau65[[#This Row],[Utilisateur]],Tableau3[[Prenoms (ID)]:[CABINET]],4,FALSE)</f>
        <v>0</v>
      </c>
    </row>
    <row r="546" spans="1:10" x14ac:dyDescent="0.25">
      <c r="A546" s="46">
        <v>45663</v>
      </c>
      <c r="B546" s="27" t="s">
        <v>161</v>
      </c>
      <c r="C546" s="6">
        <v>1</v>
      </c>
      <c r="D546" t="s">
        <v>49</v>
      </c>
      <c r="G546" t="s">
        <v>173</v>
      </c>
      <c r="H546" s="35" t="str">
        <f>VLOOKUP(Tableau65[[#This Row],[Utilisateur]],Tableau3[[Prenoms (ID)]:[Localisation]],2,FALSE)</f>
        <v>Optique / Sata</v>
      </c>
      <c r="I546" s="35" t="str">
        <f>VLOOKUP(Tableau65[[#This Row],[Utilisateur]],Tableau3[[Prenoms (ID)]:[Localisation]],3,FALSE)</f>
        <v>BNI1</v>
      </c>
      <c r="J546" s="35">
        <f>VLOOKUP(Tableau65[[#This Row],[Utilisateur]],Tableau3[[Prenoms (ID)]:[CABINET]],4,FALSE)</f>
        <v>0</v>
      </c>
    </row>
    <row r="547" spans="1:10" x14ac:dyDescent="0.25">
      <c r="A547" s="49">
        <v>45663</v>
      </c>
      <c r="B547" s="34" t="s">
        <v>161</v>
      </c>
      <c r="C547" s="6">
        <v>1</v>
      </c>
      <c r="D547" t="s">
        <v>49</v>
      </c>
      <c r="G547" s="12" t="s">
        <v>175</v>
      </c>
      <c r="H547" s="35" t="str">
        <f>VLOOKUP(Tableau65[[#This Row],[Utilisateur]],Tableau3[[Prenoms (ID)]:[Localisation]],2,FALSE)</f>
        <v>EXAULIA</v>
      </c>
      <c r="I547" s="35" t="str">
        <f>VLOOKUP(Tableau65[[#This Row],[Utilisateur]],Tableau3[[Prenoms (ID)]:[Localisation]],3,FALSE)</f>
        <v>BNI1</v>
      </c>
      <c r="J547" s="35">
        <f>VLOOKUP(Tableau65[[#This Row],[Utilisateur]],Tableau3[[Prenoms (ID)]:[CABINET]],4,FALSE)</f>
        <v>0</v>
      </c>
    </row>
    <row r="548" spans="1:10" x14ac:dyDescent="0.25">
      <c r="A548" s="46">
        <v>45663</v>
      </c>
      <c r="B548" s="27" t="s">
        <v>149</v>
      </c>
      <c r="C548" s="6">
        <v>1</v>
      </c>
      <c r="D548" t="s">
        <v>49</v>
      </c>
      <c r="G548" t="s">
        <v>177</v>
      </c>
      <c r="H548" s="35" t="str">
        <f>VLOOKUP(Tableau65[[#This Row],[Utilisateur]],Tableau3[[Prenoms (ID)]:[Localisation]],2,FALSE)</f>
        <v>FEDIS</v>
      </c>
      <c r="I548" s="35" t="str">
        <f>VLOOKUP(Tableau65[[#This Row],[Utilisateur]],Tableau3[[Prenoms (ID)]:[Localisation]],3,FALSE)</f>
        <v>MADAFIT</v>
      </c>
      <c r="J548" s="35">
        <f>VLOOKUP(Tableau65[[#This Row],[Utilisateur]],Tableau3[[Prenoms (ID)]:[CABINET]],4,FALSE)</f>
        <v>0</v>
      </c>
    </row>
    <row r="549" spans="1:10" x14ac:dyDescent="0.25">
      <c r="A549" s="46">
        <v>45663</v>
      </c>
      <c r="B549" s="27" t="s">
        <v>170</v>
      </c>
      <c r="C549" s="6">
        <v>1</v>
      </c>
      <c r="D549" t="s">
        <v>49</v>
      </c>
      <c r="G549" t="s">
        <v>179</v>
      </c>
      <c r="H549" s="35" t="str">
        <f>VLOOKUP(Tableau65[[#This Row],[Utilisateur]],Tableau3[[Prenoms (ID)]:[Localisation]],2,FALSE)</f>
        <v>ECCENTIVE</v>
      </c>
      <c r="I549" s="35" t="str">
        <f>VLOOKUP(Tableau65[[#This Row],[Utilisateur]],Tableau3[[Prenoms (ID)]:[Localisation]],3,FALSE)</f>
        <v>MADAFIT</v>
      </c>
      <c r="J549" s="35">
        <f>VLOOKUP(Tableau65[[#This Row],[Utilisateur]],Tableau3[[Prenoms (ID)]:[CABINET]],4,FALSE)</f>
        <v>0</v>
      </c>
    </row>
    <row r="550" spans="1:10" x14ac:dyDescent="0.25">
      <c r="A550" s="46">
        <v>45663</v>
      </c>
      <c r="B550" s="27" t="s">
        <v>170</v>
      </c>
      <c r="C550" s="6">
        <v>1</v>
      </c>
      <c r="D550" t="s">
        <v>49</v>
      </c>
      <c r="G550" t="s">
        <v>181</v>
      </c>
      <c r="H550" s="35" t="str">
        <f>VLOOKUP(Tableau65[[#This Row],[Utilisateur]],Tableau3[[Prenoms (ID)]:[Localisation]],2,FALSE)</f>
        <v>TIIME</v>
      </c>
      <c r="I550" s="35">
        <f>VLOOKUP(Tableau65[[#This Row],[Utilisateur]],Tableau3[[Prenoms (ID)]:[Localisation]],3,FALSE)</f>
        <v>0</v>
      </c>
      <c r="J550" s="35">
        <f>VLOOKUP(Tableau65[[#This Row],[Utilisateur]],Tableau3[[Prenoms (ID)]:[CABINET]],4,FALSE)</f>
        <v>0</v>
      </c>
    </row>
    <row r="551" spans="1:10" x14ac:dyDescent="0.25">
      <c r="A551" s="46">
        <v>45663</v>
      </c>
      <c r="B551" s="27" t="s">
        <v>161</v>
      </c>
      <c r="C551" s="6">
        <v>1</v>
      </c>
      <c r="D551" t="s">
        <v>49</v>
      </c>
      <c r="G551" t="s">
        <v>183</v>
      </c>
      <c r="H551" s="35" t="str">
        <f>VLOOKUP(Tableau65[[#This Row],[Utilisateur]],Tableau3[[Prenoms (ID)]:[Localisation]],2,FALSE)</f>
        <v>TIIME</v>
      </c>
      <c r="I551" s="35">
        <f>VLOOKUP(Tableau65[[#This Row],[Utilisateur]],Tableau3[[Prenoms (ID)]:[Localisation]],3,FALSE)</f>
        <v>0</v>
      </c>
      <c r="J551" s="35">
        <f>VLOOKUP(Tableau65[[#This Row],[Utilisateur]],Tableau3[[Prenoms (ID)]:[CABINET]],4,FALSE)</f>
        <v>0</v>
      </c>
    </row>
    <row r="552" spans="1:10" x14ac:dyDescent="0.25">
      <c r="A552" s="46">
        <v>45663</v>
      </c>
      <c r="B552" s="27" t="s">
        <v>185</v>
      </c>
      <c r="C552" s="6">
        <v>1</v>
      </c>
      <c r="D552" t="s">
        <v>49</v>
      </c>
      <c r="G552" t="s">
        <v>186</v>
      </c>
      <c r="H552" s="35" t="str">
        <f>VLOOKUP(Tableau65[[#This Row],[Utilisateur]],Tableau3[[Prenoms (ID)]:[Localisation]],2,FALSE)</f>
        <v>ACCEFI</v>
      </c>
      <c r="I552" s="35" t="str">
        <f>VLOOKUP(Tableau65[[#This Row],[Utilisateur]],Tableau3[[Prenoms (ID)]:[Localisation]],3,FALSE)</f>
        <v>MADAFIT</v>
      </c>
      <c r="J552" s="35">
        <f>VLOOKUP(Tableau65[[#This Row],[Utilisateur]],Tableau3[[Prenoms (ID)]:[CABINET]],4,FALSE)</f>
        <v>0</v>
      </c>
    </row>
    <row r="553" spans="1:10" x14ac:dyDescent="0.25">
      <c r="A553" s="46">
        <v>45663</v>
      </c>
      <c r="B553" s="27" t="s">
        <v>188</v>
      </c>
      <c r="C553" s="6">
        <v>1</v>
      </c>
      <c r="D553" t="s">
        <v>49</v>
      </c>
      <c r="G553" t="s">
        <v>189</v>
      </c>
      <c r="H553" s="35" t="str">
        <f>VLOOKUP(Tableau65[[#This Row],[Utilisateur]],Tableau3[[Prenoms (ID)]:[Localisation]],2,FALSE)</f>
        <v>SOCIAL</v>
      </c>
      <c r="I553" s="35" t="str">
        <f>VLOOKUP(Tableau65[[#This Row],[Utilisateur]],Tableau3[[Prenoms (ID)]:[Localisation]],3,FALSE)</f>
        <v>MADAFIT</v>
      </c>
      <c r="J553" s="35">
        <f>VLOOKUP(Tableau65[[#This Row],[Utilisateur]],Tableau3[[Prenoms (ID)]:[CABINET]],4,FALSE)</f>
        <v>0</v>
      </c>
    </row>
    <row r="554" spans="1:10" x14ac:dyDescent="0.25">
      <c r="A554" s="46">
        <v>45663</v>
      </c>
      <c r="B554" s="27" t="s">
        <v>149</v>
      </c>
      <c r="C554" s="6">
        <v>1</v>
      </c>
      <c r="D554" t="s">
        <v>49</v>
      </c>
      <c r="G554" t="s">
        <v>191</v>
      </c>
      <c r="H554" s="35" t="str">
        <f>VLOOKUP(Tableau65[[#This Row],[Utilisateur]],Tableau3[[Prenoms (ID)]:[Localisation]],2,FALSE)</f>
        <v>OZEO</v>
      </c>
      <c r="I554" s="35" t="str">
        <f>VLOOKUP(Tableau65[[#This Row],[Utilisateur]],Tableau3[[Prenoms (ID)]:[Localisation]],3,FALSE)</f>
        <v>MADAFIT</v>
      </c>
      <c r="J554" s="35">
        <f>VLOOKUP(Tableau65[[#This Row],[Utilisateur]],Tableau3[[Prenoms (ID)]:[CABINET]],4,FALSE)</f>
        <v>0</v>
      </c>
    </row>
    <row r="555" spans="1:10" x14ac:dyDescent="0.25">
      <c r="A555" s="46">
        <v>45663</v>
      </c>
      <c r="B555" s="27" t="s">
        <v>158</v>
      </c>
      <c r="C555" s="6">
        <v>1</v>
      </c>
      <c r="D555" t="s">
        <v>49</v>
      </c>
      <c r="G555" t="s">
        <v>193</v>
      </c>
      <c r="H555" s="35" t="str">
        <f>VLOOKUP(Tableau65[[#This Row],[Utilisateur]],Tableau3[[Prenoms (ID)]:[Localisation]],2,FALSE)</f>
        <v>AUDIT CPA</v>
      </c>
      <c r="I555" s="35" t="str">
        <f>VLOOKUP(Tableau65[[#This Row],[Utilisateur]],Tableau3[[Prenoms (ID)]:[Localisation]],3,FALSE)</f>
        <v>MADAFIT</v>
      </c>
      <c r="J555" s="35">
        <f>VLOOKUP(Tableau65[[#This Row],[Utilisateur]],Tableau3[[Prenoms (ID)]:[CABINET]],4,FALSE)</f>
        <v>0</v>
      </c>
    </row>
    <row r="556" spans="1:10" x14ac:dyDescent="0.25">
      <c r="A556" s="46">
        <v>45663</v>
      </c>
      <c r="B556" s="27" t="s">
        <v>195</v>
      </c>
      <c r="C556" s="6">
        <v>1</v>
      </c>
      <c r="D556" t="s">
        <v>49</v>
      </c>
      <c r="G556" t="s">
        <v>196</v>
      </c>
      <c r="H556" s="35" t="str">
        <f>VLOOKUP(Tableau65[[#This Row],[Utilisateur]],Tableau3[[Prenoms (ID)]:[Localisation]],2,FALSE)</f>
        <v>AUDIT CPA</v>
      </c>
      <c r="I556" s="35" t="str">
        <f>VLOOKUP(Tableau65[[#This Row],[Utilisateur]],Tableau3[[Prenoms (ID)]:[Localisation]],3,FALSE)</f>
        <v>MADAFIT</v>
      </c>
      <c r="J556" s="35">
        <f>VLOOKUP(Tableau65[[#This Row],[Utilisateur]],Tableau3[[Prenoms (ID)]:[CABINET]],4,FALSE)</f>
        <v>0</v>
      </c>
    </row>
    <row r="557" spans="1:10" x14ac:dyDescent="0.25">
      <c r="A557" s="46">
        <v>45663</v>
      </c>
      <c r="B557" s="27" t="s">
        <v>188</v>
      </c>
      <c r="C557" s="6">
        <v>1</v>
      </c>
      <c r="D557" t="s">
        <v>49</v>
      </c>
      <c r="G557" t="s">
        <v>198</v>
      </c>
      <c r="H557" s="35" t="str">
        <f>VLOOKUP(Tableau65[[#This Row],[Utilisateur]],Tableau3[[Prenoms (ID)]:[Localisation]],2,FALSE)</f>
        <v>Comptastar</v>
      </c>
      <c r="I557" s="35" t="str">
        <f>VLOOKUP(Tableau65[[#This Row],[Utilisateur]],Tableau3[[Prenoms (ID)]:[Localisation]],3,FALSE)</f>
        <v>CENTRE</v>
      </c>
      <c r="J557" s="35">
        <f>VLOOKUP(Tableau65[[#This Row],[Utilisateur]],Tableau3[[Prenoms (ID)]:[CABINET]],4,FALSE)</f>
        <v>0</v>
      </c>
    </row>
    <row r="558" spans="1:10" x14ac:dyDescent="0.25">
      <c r="A558" s="46">
        <v>45663</v>
      </c>
      <c r="B558" s="27" t="s">
        <v>161</v>
      </c>
      <c r="C558" s="6">
        <v>1</v>
      </c>
      <c r="D558" t="s">
        <v>49</v>
      </c>
      <c r="G558" t="s">
        <v>200</v>
      </c>
      <c r="H558" s="35" t="str">
        <f>VLOOKUP(Tableau65[[#This Row],[Utilisateur]],Tableau3[[Prenoms (ID)]:[Localisation]],2,FALSE)</f>
        <v>Comptastar</v>
      </c>
      <c r="I558" s="35" t="str">
        <f>VLOOKUP(Tableau65[[#This Row],[Utilisateur]],Tableau3[[Prenoms (ID)]:[Localisation]],3,FALSE)</f>
        <v>CENTRE</v>
      </c>
      <c r="J558" s="35">
        <f>VLOOKUP(Tableau65[[#This Row],[Utilisateur]],Tableau3[[Prenoms (ID)]:[CABINET]],4,FALSE)</f>
        <v>0</v>
      </c>
    </row>
    <row r="559" spans="1:10" x14ac:dyDescent="0.25">
      <c r="A559" s="46">
        <v>45663</v>
      </c>
      <c r="B559" s="27" t="s">
        <v>161</v>
      </c>
      <c r="C559" s="6">
        <v>1</v>
      </c>
      <c r="D559" t="s">
        <v>49</v>
      </c>
      <c r="G559" t="s">
        <v>202</v>
      </c>
      <c r="H559" s="35" t="str">
        <f>VLOOKUP(Tableau65[[#This Row],[Utilisateur]],Tableau3[[Prenoms (ID)]:[Localisation]],2,FALSE)</f>
        <v>Comptastar</v>
      </c>
      <c r="I559" s="35" t="str">
        <f>VLOOKUP(Tableau65[[#This Row],[Utilisateur]],Tableau3[[Prenoms (ID)]:[Localisation]],3,FALSE)</f>
        <v>CENTRE</v>
      </c>
      <c r="J559" s="35">
        <f>VLOOKUP(Tableau65[[#This Row],[Utilisateur]],Tableau3[[Prenoms (ID)]:[CABINET]],4,FALSE)</f>
        <v>0</v>
      </c>
    </row>
    <row r="560" spans="1:10" x14ac:dyDescent="0.25">
      <c r="A560" s="46">
        <v>45663</v>
      </c>
      <c r="B560" s="27" t="s">
        <v>204</v>
      </c>
      <c r="C560" s="6">
        <v>1</v>
      </c>
      <c r="D560" t="s">
        <v>49</v>
      </c>
      <c r="G560" t="s">
        <v>205</v>
      </c>
      <c r="H560" s="35" t="str">
        <f>VLOOKUP(Tableau65[[#This Row],[Utilisateur]],Tableau3[[Prenoms (ID)]:[Localisation]],2,FALSE)</f>
        <v>Comptastar</v>
      </c>
      <c r="I560" s="35" t="str">
        <f>VLOOKUP(Tableau65[[#This Row],[Utilisateur]],Tableau3[[Prenoms (ID)]:[Localisation]],3,FALSE)</f>
        <v>CENTRE</v>
      </c>
      <c r="J560" s="35">
        <f>VLOOKUP(Tableau65[[#This Row],[Utilisateur]],Tableau3[[Prenoms (ID)]:[CABINET]],4,FALSE)</f>
        <v>0</v>
      </c>
    </row>
    <row r="561" spans="1:13" x14ac:dyDescent="0.25">
      <c r="A561" s="46">
        <v>45663</v>
      </c>
      <c r="B561" s="27" t="s">
        <v>207</v>
      </c>
      <c r="C561" s="6">
        <v>1</v>
      </c>
      <c r="D561" t="s">
        <v>49</v>
      </c>
      <c r="G561" t="s">
        <v>208</v>
      </c>
      <c r="H561" s="35" t="str">
        <f>VLOOKUP(Tableau65[[#This Row],[Utilisateur]],Tableau3[[Prenoms (ID)]:[Localisation]],2,FALSE)</f>
        <v>Comptastar</v>
      </c>
      <c r="I561" s="35" t="str">
        <f>VLOOKUP(Tableau65[[#This Row],[Utilisateur]],Tableau3[[Prenoms (ID)]:[Localisation]],3,FALSE)</f>
        <v>CENTRE</v>
      </c>
      <c r="J561" s="35">
        <f>VLOOKUP(Tableau65[[#This Row],[Utilisateur]],Tableau3[[Prenoms (ID)]:[CABINET]],4,FALSE)</f>
        <v>0</v>
      </c>
    </row>
    <row r="562" spans="1:13" x14ac:dyDescent="0.25">
      <c r="A562" s="46">
        <v>45663</v>
      </c>
      <c r="B562" s="27" t="s">
        <v>195</v>
      </c>
      <c r="C562" s="6">
        <v>1</v>
      </c>
      <c r="D562" t="s">
        <v>49</v>
      </c>
      <c r="G562" t="s">
        <v>210</v>
      </c>
      <c r="H562" s="35" t="str">
        <f>VLOOKUP(Tableau65[[#This Row],[Utilisateur]],Tableau3[[Prenoms (ID)]:[Localisation]],2,FALSE)</f>
        <v>Comptastar</v>
      </c>
      <c r="I562" s="35" t="str">
        <f>VLOOKUP(Tableau65[[#This Row],[Utilisateur]],Tableau3[[Prenoms (ID)]:[Localisation]],3,FALSE)</f>
        <v>CENTRE</v>
      </c>
      <c r="J562" s="35">
        <f>VLOOKUP(Tableau65[[#This Row],[Utilisateur]],Tableau3[[Prenoms (ID)]:[CABINET]],4,FALSE)</f>
        <v>0</v>
      </c>
    </row>
    <row r="563" spans="1:13" x14ac:dyDescent="0.25">
      <c r="A563" s="46">
        <v>45663</v>
      </c>
      <c r="B563" s="27" t="s">
        <v>149</v>
      </c>
      <c r="C563" s="6">
        <v>1</v>
      </c>
      <c r="D563" t="s">
        <v>49</v>
      </c>
      <c r="G563" t="s">
        <v>212</v>
      </c>
      <c r="H563" s="35">
        <f>VLOOKUP(Tableau65[[#This Row],[Utilisateur]],Tableau3[[Prenoms (ID)]:[Localisation]],2,FALSE)</f>
        <v>0</v>
      </c>
      <c r="I563" s="35">
        <f>VLOOKUP(Tableau65[[#This Row],[Utilisateur]],Tableau3[[Prenoms (ID)]:[Localisation]],3,FALSE)</f>
        <v>0</v>
      </c>
      <c r="J563" s="35">
        <f>VLOOKUP(Tableau65[[#This Row],[Utilisateur]],Tableau3[[Prenoms (ID)]:[CABINET]],4,FALSE)</f>
        <v>0</v>
      </c>
    </row>
    <row r="564" spans="1:13" x14ac:dyDescent="0.25">
      <c r="A564" s="46">
        <v>45663</v>
      </c>
      <c r="B564" s="27" t="s">
        <v>152</v>
      </c>
      <c r="C564" s="6">
        <v>1</v>
      </c>
      <c r="D564" t="s">
        <v>49</v>
      </c>
      <c r="G564" t="s">
        <v>214</v>
      </c>
      <c r="H564" s="35" t="str">
        <f>VLOOKUP(Tableau65[[#This Row],[Utilisateur]],Tableau3[[Prenoms (ID)]:[Localisation]],2,FALSE)</f>
        <v>ACCEFI</v>
      </c>
      <c r="I564" s="35" t="str">
        <f>VLOOKUP(Tableau65[[#This Row],[Utilisateur]],Tableau3[[Prenoms (ID)]:[Localisation]],3,FALSE)</f>
        <v>CENTRE</v>
      </c>
      <c r="J564" s="35">
        <f>VLOOKUP(Tableau65[[#This Row],[Utilisateur]],Tableau3[[Prenoms (ID)]:[CABINET]],4,FALSE)</f>
        <v>0</v>
      </c>
    </row>
    <row r="565" spans="1:13" x14ac:dyDescent="0.25">
      <c r="A565" s="46">
        <v>45663</v>
      </c>
      <c r="B565" s="27" t="s">
        <v>152</v>
      </c>
      <c r="C565" s="6">
        <v>1</v>
      </c>
      <c r="D565" t="s">
        <v>49</v>
      </c>
      <c r="G565" t="s">
        <v>216</v>
      </c>
      <c r="H565" s="35">
        <f>VLOOKUP(Tableau65[[#This Row],[Utilisateur]],Tableau3[[Prenoms (ID)]:[Localisation]],2,FALSE)</f>
        <v>0</v>
      </c>
      <c r="I565" s="35" t="str">
        <f>VLOOKUP(Tableau65[[#This Row],[Utilisateur]],Tableau3[[Prenoms (ID)]:[Localisation]],3,FALSE)</f>
        <v>CENTRE</v>
      </c>
      <c r="J565" s="35">
        <f>VLOOKUP(Tableau65[[#This Row],[Utilisateur]],Tableau3[[Prenoms (ID)]:[CABINET]],4,FALSE)</f>
        <v>0</v>
      </c>
    </row>
    <row r="566" spans="1:13" x14ac:dyDescent="0.25">
      <c r="A566" s="46">
        <v>45663</v>
      </c>
      <c r="B566" s="27" t="s">
        <v>152</v>
      </c>
      <c r="C566" s="6">
        <v>1</v>
      </c>
      <c r="D566" t="s">
        <v>49</v>
      </c>
      <c r="G566" t="s">
        <v>218</v>
      </c>
      <c r="H566" s="35" t="str">
        <f>VLOOKUP(Tableau65[[#This Row],[Utilisateur]],Tableau3[[Prenoms (ID)]:[Localisation]],2,FALSE)</f>
        <v>ECCENTIVE</v>
      </c>
      <c r="I566" s="35" t="str">
        <f>VLOOKUP(Tableau65[[#This Row],[Utilisateur]],Tableau3[[Prenoms (ID)]:[Localisation]],3,FALSE)</f>
        <v>CENTRE</v>
      </c>
      <c r="J566" s="35">
        <f>VLOOKUP(Tableau65[[#This Row],[Utilisateur]],Tableau3[[Prenoms (ID)]:[CABINET]],4,FALSE)</f>
        <v>0</v>
      </c>
    </row>
    <row r="567" spans="1:13" x14ac:dyDescent="0.25">
      <c r="A567" s="46">
        <v>45663</v>
      </c>
      <c r="B567" s="27" t="s">
        <v>161</v>
      </c>
      <c r="C567" s="6">
        <v>1</v>
      </c>
      <c r="D567" t="s">
        <v>49</v>
      </c>
      <c r="G567" t="s">
        <v>220</v>
      </c>
      <c r="H567" s="35">
        <f>VLOOKUP(Tableau65[[#This Row],[Utilisateur]],Tableau3[[Prenoms (ID)]:[Localisation]],2,FALSE)</f>
        <v>0</v>
      </c>
      <c r="I567" s="35" t="str">
        <f>VLOOKUP(Tableau65[[#This Row],[Utilisateur]],Tableau3[[Prenoms (ID)]:[Localisation]],3,FALSE)</f>
        <v>MADAFIT</v>
      </c>
      <c r="J567" s="35">
        <f>VLOOKUP(Tableau65[[#This Row],[Utilisateur]],Tableau3[[Prenoms (ID)]:[CABINET]],4,FALSE)</f>
        <v>0</v>
      </c>
    </row>
    <row r="568" spans="1:13" x14ac:dyDescent="0.25">
      <c r="A568" s="46">
        <v>45663</v>
      </c>
      <c r="B568" s="27" t="s">
        <v>188</v>
      </c>
      <c r="C568" s="6">
        <v>1</v>
      </c>
      <c r="D568" t="s">
        <v>49</v>
      </c>
      <c r="G568" t="s">
        <v>222</v>
      </c>
      <c r="H568" s="35" t="str">
        <f>VLOOKUP(Tableau65[[#This Row],[Utilisateur]],Tableau3[[Prenoms (ID)]:[Localisation]],2,FALSE)</f>
        <v>AGE CONSEIL</v>
      </c>
      <c r="I568" s="35" t="str">
        <f>VLOOKUP(Tableau65[[#This Row],[Utilisateur]],Tableau3[[Prenoms (ID)]:[Localisation]],3,FALSE)</f>
        <v>CENTRE</v>
      </c>
      <c r="J568" s="35">
        <f>VLOOKUP(Tableau65[[#This Row],[Utilisateur]],Tableau3[[Prenoms (ID)]:[CABINET]],4,FALSE)</f>
        <v>0</v>
      </c>
    </row>
    <row r="569" spans="1:13" x14ac:dyDescent="0.25">
      <c r="A569" s="46">
        <v>45663</v>
      </c>
      <c r="B569" s="27" t="s">
        <v>224</v>
      </c>
      <c r="C569" s="6">
        <v>1</v>
      </c>
      <c r="D569" t="s">
        <v>49</v>
      </c>
      <c r="G569" t="s">
        <v>225</v>
      </c>
      <c r="H569" s="35" t="str">
        <f>VLOOKUP(Tableau65[[#This Row],[Utilisateur]],Tableau3[[Prenoms (ID)]:[Localisation]],2,FALSE)</f>
        <v>AUDIT CPA</v>
      </c>
      <c r="I569" s="35" t="str">
        <f>VLOOKUP(Tableau65[[#This Row],[Utilisateur]],Tableau3[[Prenoms (ID)]:[Localisation]],3,FALSE)</f>
        <v>MATURA</v>
      </c>
      <c r="J569" s="35">
        <f>VLOOKUP(Tableau65[[#This Row],[Utilisateur]],Tableau3[[Prenoms (ID)]:[CABINET]],4,FALSE)</f>
        <v>0</v>
      </c>
    </row>
    <row r="570" spans="1:13" x14ac:dyDescent="0.25">
      <c r="A570" s="46">
        <v>45663</v>
      </c>
      <c r="B570" s="27" t="s">
        <v>152</v>
      </c>
      <c r="C570" s="6">
        <v>1</v>
      </c>
      <c r="D570" t="s">
        <v>49</v>
      </c>
      <c r="G570" t="s">
        <v>227</v>
      </c>
      <c r="H570" s="35" t="str">
        <f>VLOOKUP(Tableau65[[#This Row],[Utilisateur]],Tableau3[[Prenoms (ID)]:[Localisation]],2,FALSE)</f>
        <v>Info/Data</v>
      </c>
      <c r="I570" s="35" t="str">
        <f>VLOOKUP(Tableau65[[#This Row],[Utilisateur]],Tableau3[[Prenoms (ID)]:[Localisation]],3,FALSE)</f>
        <v>Informatique</v>
      </c>
      <c r="J570" s="35">
        <f>VLOOKUP(Tableau65[[#This Row],[Utilisateur]],Tableau3[[Prenoms (ID)]:[CABINET]],4,FALSE)</f>
        <v>0</v>
      </c>
    </row>
    <row r="571" spans="1:13" x14ac:dyDescent="0.25">
      <c r="A571" s="46">
        <v>45663</v>
      </c>
      <c r="B571" s="27" t="s">
        <v>161</v>
      </c>
      <c r="C571" s="6">
        <v>1</v>
      </c>
      <c r="D571" t="s">
        <v>49</v>
      </c>
      <c r="G571" t="s">
        <v>229</v>
      </c>
      <c r="H571" s="35" t="str">
        <f>VLOOKUP(Tableau65[[#This Row],[Utilisateur]],Tableau3[[Prenoms (ID)]:[Localisation]],2,FALSE)</f>
        <v>ADMIN</v>
      </c>
      <c r="I571" s="35" t="str">
        <f>VLOOKUP(Tableau65[[#This Row],[Utilisateur]],Tableau3[[Prenoms (ID)]:[Localisation]],3,FALSE)</f>
        <v>MATURA</v>
      </c>
      <c r="J571" s="35">
        <f>VLOOKUP(Tableau65[[#This Row],[Utilisateur]],Tableau3[[Prenoms (ID)]:[CABINET]],4,FALSE)</f>
        <v>0</v>
      </c>
    </row>
    <row r="572" spans="1:13" x14ac:dyDescent="0.25">
      <c r="A572" s="46">
        <v>45663</v>
      </c>
      <c r="B572" s="27" t="s">
        <v>161</v>
      </c>
      <c r="C572" s="44">
        <v>1</v>
      </c>
      <c r="D572" s="43" t="s">
        <v>49</v>
      </c>
      <c r="E572" s="43"/>
      <c r="F572" s="43"/>
      <c r="G572" t="s">
        <v>231</v>
      </c>
      <c r="H572" s="45" t="str">
        <f>VLOOKUP(Tableau65[[#This Row],[Utilisateur]],Tableau3[[Prenoms (ID)]:[Localisation]],2,FALSE)</f>
        <v>KOZE</v>
      </c>
      <c r="I572" s="45" t="str">
        <f>VLOOKUP(Tableau65[[#This Row],[Utilisateur]],Tableau3[[Prenoms (ID)]:[Localisation]],3,FALSE)</f>
        <v>CENTRE</v>
      </c>
      <c r="J572" s="45">
        <f>VLOOKUP(Tableau65[[#This Row],[Utilisateur]],Tableau3[[Prenoms (ID)]:[CABINET]],4,FALSE)</f>
        <v>0</v>
      </c>
      <c r="K572" s="43"/>
      <c r="L572" s="43"/>
      <c r="M572" s="43"/>
    </row>
    <row r="573" spans="1:13" x14ac:dyDescent="0.25">
      <c r="A573" s="46">
        <v>45663</v>
      </c>
      <c r="B573" t="s">
        <v>28</v>
      </c>
      <c r="C573" s="44">
        <v>1</v>
      </c>
      <c r="D573" s="43" t="s">
        <v>49</v>
      </c>
      <c r="G573" t="s">
        <v>168</v>
      </c>
      <c r="H573" s="35" t="str">
        <f>VLOOKUP(Tableau65[[#This Row],[Utilisateur]],Tableau3[[Prenoms (ID)]:[Localisation]],2,FALSE)</f>
        <v>RECCI / Daniel</v>
      </c>
      <c r="I573" s="35" t="str">
        <f>VLOOKUP(Tableau65[[#This Row],[Utilisateur]],Tableau3[[Prenoms (ID)]:[Localisation]],3,FALSE)</f>
        <v>BNI1</v>
      </c>
      <c r="J573" s="35">
        <f>VLOOKUP(Tableau65[[#This Row],[Utilisateur]],Tableau3[[Prenoms (ID)]:[CABINET]],4,FALSE)</f>
        <v>0</v>
      </c>
    </row>
    <row r="574" spans="1:13" x14ac:dyDescent="0.25">
      <c r="A574" s="46">
        <v>45663</v>
      </c>
      <c r="B574" t="s">
        <v>28</v>
      </c>
      <c r="C574" s="44">
        <v>1</v>
      </c>
      <c r="D574" s="43" t="s">
        <v>49</v>
      </c>
      <c r="G574" t="s">
        <v>171</v>
      </c>
      <c r="H574" s="35" t="str">
        <f>VLOOKUP(Tableau65[[#This Row],[Utilisateur]],Tableau3[[Prenoms (ID)]:[Localisation]],2,FALSE)</f>
        <v>EXAULIA</v>
      </c>
      <c r="I574" s="35" t="str">
        <f>VLOOKUP(Tableau65[[#This Row],[Utilisateur]],Tableau3[[Prenoms (ID)]:[Localisation]],3,FALSE)</f>
        <v>BNI1</v>
      </c>
      <c r="J574" s="35">
        <f>VLOOKUP(Tableau65[[#This Row],[Utilisateur]],Tableau3[[Prenoms (ID)]:[CABINET]],4,FALSE)</f>
        <v>0</v>
      </c>
    </row>
    <row r="575" spans="1:13" x14ac:dyDescent="0.25">
      <c r="A575" s="46">
        <v>45663</v>
      </c>
      <c r="B575" t="s">
        <v>28</v>
      </c>
      <c r="C575" s="44">
        <v>1</v>
      </c>
      <c r="D575" s="43" t="s">
        <v>49</v>
      </c>
      <c r="G575" t="s">
        <v>173</v>
      </c>
      <c r="H575" s="35" t="str">
        <f>VLOOKUP(Tableau65[[#This Row],[Utilisateur]],Tableau3[[Prenoms (ID)]:[Localisation]],2,FALSE)</f>
        <v>Optique / Sata</v>
      </c>
      <c r="I575" s="35" t="str">
        <f>VLOOKUP(Tableau65[[#This Row],[Utilisateur]],Tableau3[[Prenoms (ID)]:[Localisation]],3,FALSE)</f>
        <v>BNI1</v>
      </c>
      <c r="J575" s="35">
        <f>VLOOKUP(Tableau65[[#This Row],[Utilisateur]],Tableau3[[Prenoms (ID)]:[CABINET]],4,FALSE)</f>
        <v>0</v>
      </c>
    </row>
    <row r="576" spans="1:13" x14ac:dyDescent="0.25">
      <c r="A576" s="46">
        <v>45663</v>
      </c>
      <c r="B576" t="s">
        <v>28</v>
      </c>
      <c r="C576" s="44">
        <v>1</v>
      </c>
      <c r="D576" s="43" t="s">
        <v>49</v>
      </c>
      <c r="G576" s="12" t="s">
        <v>175</v>
      </c>
      <c r="H576" s="35" t="str">
        <f>VLOOKUP(Tableau65[[#This Row],[Utilisateur]],Tableau3[[Prenoms (ID)]:[Localisation]],2,FALSE)</f>
        <v>EXAULIA</v>
      </c>
      <c r="I576" s="35" t="str">
        <f>VLOOKUP(Tableau65[[#This Row],[Utilisateur]],Tableau3[[Prenoms (ID)]:[Localisation]],3,FALSE)</f>
        <v>BNI1</v>
      </c>
      <c r="J576" s="35">
        <f>VLOOKUP(Tableau65[[#This Row],[Utilisateur]],Tableau3[[Prenoms (ID)]:[CABINET]],4,FALSE)</f>
        <v>0</v>
      </c>
    </row>
    <row r="577" spans="1:10" x14ac:dyDescent="0.25">
      <c r="A577" s="46">
        <v>45663</v>
      </c>
      <c r="B577" t="s">
        <v>28</v>
      </c>
      <c r="C577" s="44">
        <v>1</v>
      </c>
      <c r="D577" s="43" t="s">
        <v>49</v>
      </c>
      <c r="G577" t="s">
        <v>177</v>
      </c>
      <c r="H577" s="35" t="str">
        <f>VLOOKUP(Tableau65[[#This Row],[Utilisateur]],Tableau3[[Prenoms (ID)]:[Localisation]],2,FALSE)</f>
        <v>FEDIS</v>
      </c>
      <c r="I577" s="35" t="str">
        <f>VLOOKUP(Tableau65[[#This Row],[Utilisateur]],Tableau3[[Prenoms (ID)]:[Localisation]],3,FALSE)</f>
        <v>MADAFIT</v>
      </c>
      <c r="J577" s="35">
        <f>VLOOKUP(Tableau65[[#This Row],[Utilisateur]],Tableau3[[Prenoms (ID)]:[CABINET]],4,FALSE)</f>
        <v>0</v>
      </c>
    </row>
    <row r="578" spans="1:10" x14ac:dyDescent="0.25">
      <c r="A578" s="46">
        <v>45663</v>
      </c>
      <c r="B578" t="s">
        <v>28</v>
      </c>
      <c r="C578" s="44">
        <v>1</v>
      </c>
      <c r="D578" s="43" t="s">
        <v>49</v>
      </c>
      <c r="G578" t="s">
        <v>179</v>
      </c>
      <c r="H578" s="35" t="str">
        <f>VLOOKUP(Tableau65[[#This Row],[Utilisateur]],Tableau3[[Prenoms (ID)]:[Localisation]],2,FALSE)</f>
        <v>ECCENTIVE</v>
      </c>
      <c r="I578" s="35" t="str">
        <f>VLOOKUP(Tableau65[[#This Row],[Utilisateur]],Tableau3[[Prenoms (ID)]:[Localisation]],3,FALSE)</f>
        <v>MADAFIT</v>
      </c>
      <c r="J578" s="35">
        <f>VLOOKUP(Tableau65[[#This Row],[Utilisateur]],Tableau3[[Prenoms (ID)]:[CABINET]],4,FALSE)</f>
        <v>0</v>
      </c>
    </row>
    <row r="579" spans="1:10" x14ac:dyDescent="0.25">
      <c r="A579" s="46">
        <v>45663</v>
      </c>
      <c r="B579" t="s">
        <v>28</v>
      </c>
      <c r="C579" s="44">
        <v>1</v>
      </c>
      <c r="D579" s="43" t="s">
        <v>49</v>
      </c>
      <c r="G579" t="s">
        <v>181</v>
      </c>
      <c r="H579" s="35" t="str">
        <f>VLOOKUP(Tableau65[[#This Row],[Utilisateur]],Tableau3[[Prenoms (ID)]:[Localisation]],2,FALSE)</f>
        <v>TIIME</v>
      </c>
      <c r="I579" s="35">
        <f>VLOOKUP(Tableau65[[#This Row],[Utilisateur]],Tableau3[[Prenoms (ID)]:[Localisation]],3,FALSE)</f>
        <v>0</v>
      </c>
      <c r="J579" s="35">
        <f>VLOOKUP(Tableau65[[#This Row],[Utilisateur]],Tableau3[[Prenoms (ID)]:[CABINET]],4,FALSE)</f>
        <v>0</v>
      </c>
    </row>
    <row r="580" spans="1:10" x14ac:dyDescent="0.25">
      <c r="A580" s="46">
        <v>45663</v>
      </c>
      <c r="B580" t="s">
        <v>28</v>
      </c>
      <c r="C580" s="44">
        <v>1</v>
      </c>
      <c r="D580" s="43" t="s">
        <v>49</v>
      </c>
      <c r="G580" t="s">
        <v>183</v>
      </c>
      <c r="H580" s="35" t="str">
        <f>VLOOKUP(Tableau65[[#This Row],[Utilisateur]],Tableau3[[Prenoms (ID)]:[Localisation]],2,FALSE)</f>
        <v>TIIME</v>
      </c>
      <c r="I580" s="35">
        <f>VLOOKUP(Tableau65[[#This Row],[Utilisateur]],Tableau3[[Prenoms (ID)]:[Localisation]],3,FALSE)</f>
        <v>0</v>
      </c>
      <c r="J580" s="35">
        <f>VLOOKUP(Tableau65[[#This Row],[Utilisateur]],Tableau3[[Prenoms (ID)]:[CABINET]],4,FALSE)</f>
        <v>0</v>
      </c>
    </row>
    <row r="581" spans="1:10" x14ac:dyDescent="0.25">
      <c r="A581" s="46">
        <v>45663</v>
      </c>
      <c r="B581" t="s">
        <v>28</v>
      </c>
      <c r="C581" s="44">
        <v>1</v>
      </c>
      <c r="D581" s="43" t="s">
        <v>49</v>
      </c>
      <c r="G581" t="s">
        <v>186</v>
      </c>
      <c r="H581" s="35" t="str">
        <f>VLOOKUP(Tableau65[[#This Row],[Utilisateur]],Tableau3[[Prenoms (ID)]:[Localisation]],2,FALSE)</f>
        <v>ACCEFI</v>
      </c>
      <c r="I581" s="35" t="str">
        <f>VLOOKUP(Tableau65[[#This Row],[Utilisateur]],Tableau3[[Prenoms (ID)]:[Localisation]],3,FALSE)</f>
        <v>MADAFIT</v>
      </c>
      <c r="J581" s="35">
        <f>VLOOKUP(Tableau65[[#This Row],[Utilisateur]],Tableau3[[Prenoms (ID)]:[CABINET]],4,FALSE)</f>
        <v>0</v>
      </c>
    </row>
    <row r="582" spans="1:10" x14ac:dyDescent="0.25">
      <c r="A582" s="46">
        <v>45663</v>
      </c>
      <c r="B582" t="s">
        <v>28</v>
      </c>
      <c r="C582" s="44">
        <v>1</v>
      </c>
      <c r="D582" s="43" t="s">
        <v>49</v>
      </c>
      <c r="G582" t="s">
        <v>189</v>
      </c>
      <c r="H582" s="35" t="str">
        <f>VLOOKUP(Tableau65[[#This Row],[Utilisateur]],Tableau3[[Prenoms (ID)]:[Localisation]],2,FALSE)</f>
        <v>SOCIAL</v>
      </c>
      <c r="I582" s="35" t="str">
        <f>VLOOKUP(Tableau65[[#This Row],[Utilisateur]],Tableau3[[Prenoms (ID)]:[Localisation]],3,FALSE)</f>
        <v>MADAFIT</v>
      </c>
      <c r="J582" s="35">
        <f>VLOOKUP(Tableau65[[#This Row],[Utilisateur]],Tableau3[[Prenoms (ID)]:[CABINET]],4,FALSE)</f>
        <v>0</v>
      </c>
    </row>
    <row r="583" spans="1:10" x14ac:dyDescent="0.25">
      <c r="A583" s="46">
        <v>45663</v>
      </c>
      <c r="B583" t="s">
        <v>28</v>
      </c>
      <c r="C583" s="44">
        <v>1</v>
      </c>
      <c r="D583" s="43" t="s">
        <v>49</v>
      </c>
      <c r="G583" t="s">
        <v>193</v>
      </c>
      <c r="H583" s="35" t="str">
        <f>VLOOKUP(Tableau65[[#This Row],[Utilisateur]],Tableau3[[Prenoms (ID)]:[Localisation]],2,FALSE)</f>
        <v>AUDIT CPA</v>
      </c>
      <c r="I583" s="35" t="str">
        <f>VLOOKUP(Tableau65[[#This Row],[Utilisateur]],Tableau3[[Prenoms (ID)]:[Localisation]],3,FALSE)</f>
        <v>MADAFIT</v>
      </c>
      <c r="J583" s="35">
        <f>VLOOKUP(Tableau65[[#This Row],[Utilisateur]],Tableau3[[Prenoms (ID)]:[CABINET]],4,FALSE)</f>
        <v>0</v>
      </c>
    </row>
    <row r="584" spans="1:10" x14ac:dyDescent="0.25">
      <c r="A584" s="46">
        <v>45663</v>
      </c>
      <c r="B584" t="s">
        <v>28</v>
      </c>
      <c r="C584" s="44">
        <v>1</v>
      </c>
      <c r="D584" s="43" t="s">
        <v>49</v>
      </c>
      <c r="G584" t="s">
        <v>196</v>
      </c>
      <c r="H584" s="35" t="str">
        <f>VLOOKUP(Tableau65[[#This Row],[Utilisateur]],Tableau3[[Prenoms (ID)]:[Localisation]],2,FALSE)</f>
        <v>AUDIT CPA</v>
      </c>
      <c r="I584" s="35" t="str">
        <f>VLOOKUP(Tableau65[[#This Row],[Utilisateur]],Tableau3[[Prenoms (ID)]:[Localisation]],3,FALSE)</f>
        <v>MADAFIT</v>
      </c>
      <c r="J584" s="35">
        <f>VLOOKUP(Tableau65[[#This Row],[Utilisateur]],Tableau3[[Prenoms (ID)]:[CABINET]],4,FALSE)</f>
        <v>0</v>
      </c>
    </row>
    <row r="585" spans="1:10" x14ac:dyDescent="0.25">
      <c r="A585" s="46">
        <v>45663</v>
      </c>
      <c r="B585" t="s">
        <v>28</v>
      </c>
      <c r="C585" s="44">
        <v>1</v>
      </c>
      <c r="D585" s="43" t="s">
        <v>49</v>
      </c>
      <c r="G585" t="s">
        <v>198</v>
      </c>
      <c r="H585" s="35" t="str">
        <f>VLOOKUP(Tableau65[[#This Row],[Utilisateur]],Tableau3[[Prenoms (ID)]:[Localisation]],2,FALSE)</f>
        <v>Comptastar</v>
      </c>
      <c r="I585" s="35" t="str">
        <f>VLOOKUP(Tableau65[[#This Row],[Utilisateur]],Tableau3[[Prenoms (ID)]:[Localisation]],3,FALSE)</f>
        <v>CENTRE</v>
      </c>
      <c r="J585" s="35">
        <f>VLOOKUP(Tableau65[[#This Row],[Utilisateur]],Tableau3[[Prenoms (ID)]:[CABINET]],4,FALSE)</f>
        <v>0</v>
      </c>
    </row>
    <row r="586" spans="1:10" x14ac:dyDescent="0.25">
      <c r="A586" s="46">
        <v>45663</v>
      </c>
      <c r="B586" t="s">
        <v>28</v>
      </c>
      <c r="C586" s="44">
        <v>1</v>
      </c>
      <c r="D586" s="43" t="s">
        <v>49</v>
      </c>
      <c r="G586" t="s">
        <v>200</v>
      </c>
      <c r="H586" s="35" t="str">
        <f>VLOOKUP(Tableau65[[#This Row],[Utilisateur]],Tableau3[[Prenoms (ID)]:[Localisation]],2,FALSE)</f>
        <v>Comptastar</v>
      </c>
      <c r="I586" s="35" t="str">
        <f>VLOOKUP(Tableau65[[#This Row],[Utilisateur]],Tableau3[[Prenoms (ID)]:[Localisation]],3,FALSE)</f>
        <v>CENTRE</v>
      </c>
      <c r="J586" s="35">
        <f>VLOOKUP(Tableau65[[#This Row],[Utilisateur]],Tableau3[[Prenoms (ID)]:[CABINET]],4,FALSE)</f>
        <v>0</v>
      </c>
    </row>
    <row r="587" spans="1:10" x14ac:dyDescent="0.25">
      <c r="A587" s="46">
        <v>45663</v>
      </c>
      <c r="B587" t="s">
        <v>28</v>
      </c>
      <c r="C587" s="44">
        <v>1</v>
      </c>
      <c r="D587" s="43" t="s">
        <v>49</v>
      </c>
      <c r="G587" t="s">
        <v>202</v>
      </c>
      <c r="H587" s="35" t="str">
        <f>VLOOKUP(Tableau65[[#This Row],[Utilisateur]],Tableau3[[Prenoms (ID)]:[Localisation]],2,FALSE)</f>
        <v>Comptastar</v>
      </c>
      <c r="I587" s="35" t="str">
        <f>VLOOKUP(Tableau65[[#This Row],[Utilisateur]],Tableau3[[Prenoms (ID)]:[Localisation]],3,FALSE)</f>
        <v>CENTRE</v>
      </c>
      <c r="J587" s="35">
        <f>VLOOKUP(Tableau65[[#This Row],[Utilisateur]],Tableau3[[Prenoms (ID)]:[CABINET]],4,FALSE)</f>
        <v>0</v>
      </c>
    </row>
    <row r="588" spans="1:10" x14ac:dyDescent="0.25">
      <c r="A588" s="46">
        <v>45663</v>
      </c>
      <c r="B588" t="s">
        <v>28</v>
      </c>
      <c r="C588" s="44">
        <v>1</v>
      </c>
      <c r="D588" s="43" t="s">
        <v>49</v>
      </c>
      <c r="G588" t="s">
        <v>205</v>
      </c>
      <c r="H588" s="35" t="str">
        <f>VLOOKUP(Tableau65[[#This Row],[Utilisateur]],Tableau3[[Prenoms (ID)]:[Localisation]],2,FALSE)</f>
        <v>Comptastar</v>
      </c>
      <c r="I588" s="35" t="str">
        <f>VLOOKUP(Tableau65[[#This Row],[Utilisateur]],Tableau3[[Prenoms (ID)]:[Localisation]],3,FALSE)</f>
        <v>CENTRE</v>
      </c>
      <c r="J588" s="35">
        <f>VLOOKUP(Tableau65[[#This Row],[Utilisateur]],Tableau3[[Prenoms (ID)]:[CABINET]],4,FALSE)</f>
        <v>0</v>
      </c>
    </row>
    <row r="589" spans="1:10" x14ac:dyDescent="0.25">
      <c r="A589" s="46">
        <v>45663</v>
      </c>
      <c r="B589" t="s">
        <v>28</v>
      </c>
      <c r="C589" s="44">
        <v>1</v>
      </c>
      <c r="D589" s="43" t="s">
        <v>49</v>
      </c>
      <c r="G589" t="s">
        <v>208</v>
      </c>
      <c r="H589" s="35" t="str">
        <f>VLOOKUP(Tableau65[[#This Row],[Utilisateur]],Tableau3[[Prenoms (ID)]:[Localisation]],2,FALSE)</f>
        <v>Comptastar</v>
      </c>
      <c r="I589" s="35" t="str">
        <f>VLOOKUP(Tableau65[[#This Row],[Utilisateur]],Tableau3[[Prenoms (ID)]:[Localisation]],3,FALSE)</f>
        <v>CENTRE</v>
      </c>
      <c r="J589" s="35">
        <f>VLOOKUP(Tableau65[[#This Row],[Utilisateur]],Tableau3[[Prenoms (ID)]:[CABINET]],4,FALSE)</f>
        <v>0</v>
      </c>
    </row>
    <row r="590" spans="1:10" x14ac:dyDescent="0.25">
      <c r="A590" s="46">
        <v>45663</v>
      </c>
      <c r="B590" t="s">
        <v>28</v>
      </c>
      <c r="C590" s="44">
        <v>1</v>
      </c>
      <c r="D590" s="43" t="s">
        <v>49</v>
      </c>
      <c r="G590" t="s">
        <v>210</v>
      </c>
      <c r="H590" s="35" t="str">
        <f>VLOOKUP(Tableau65[[#This Row],[Utilisateur]],Tableau3[[Prenoms (ID)]:[Localisation]],2,FALSE)</f>
        <v>Comptastar</v>
      </c>
      <c r="I590" s="35" t="str">
        <f>VLOOKUP(Tableau65[[#This Row],[Utilisateur]],Tableau3[[Prenoms (ID)]:[Localisation]],3,FALSE)</f>
        <v>CENTRE</v>
      </c>
      <c r="J590" s="35">
        <f>VLOOKUP(Tableau65[[#This Row],[Utilisateur]],Tableau3[[Prenoms (ID)]:[CABINET]],4,FALSE)</f>
        <v>0</v>
      </c>
    </row>
    <row r="591" spans="1:10" x14ac:dyDescent="0.25">
      <c r="A591" s="46">
        <v>45663</v>
      </c>
      <c r="B591" t="s">
        <v>28</v>
      </c>
      <c r="C591" s="44">
        <v>1</v>
      </c>
      <c r="D591" s="43" t="s">
        <v>49</v>
      </c>
      <c r="G591" t="s">
        <v>212</v>
      </c>
      <c r="H591" s="35">
        <f>VLOOKUP(Tableau65[[#This Row],[Utilisateur]],Tableau3[[Prenoms (ID)]:[Localisation]],2,FALSE)</f>
        <v>0</v>
      </c>
      <c r="I591" s="35">
        <f>VLOOKUP(Tableau65[[#This Row],[Utilisateur]],Tableau3[[Prenoms (ID)]:[Localisation]],3,FALSE)</f>
        <v>0</v>
      </c>
      <c r="J591" s="35">
        <f>VLOOKUP(Tableau65[[#This Row],[Utilisateur]],Tableau3[[Prenoms (ID)]:[CABINET]],4,FALSE)</f>
        <v>0</v>
      </c>
    </row>
    <row r="592" spans="1:10" x14ac:dyDescent="0.25">
      <c r="A592" s="46">
        <v>45663</v>
      </c>
      <c r="B592" t="s">
        <v>28</v>
      </c>
      <c r="C592" s="44">
        <v>1</v>
      </c>
      <c r="D592" s="43" t="s">
        <v>49</v>
      </c>
      <c r="G592" t="s">
        <v>214</v>
      </c>
      <c r="H592" s="35" t="str">
        <f>VLOOKUP(Tableau65[[#This Row],[Utilisateur]],Tableau3[[Prenoms (ID)]:[Localisation]],2,FALSE)</f>
        <v>ACCEFI</v>
      </c>
      <c r="I592" s="35" t="str">
        <f>VLOOKUP(Tableau65[[#This Row],[Utilisateur]],Tableau3[[Prenoms (ID)]:[Localisation]],3,FALSE)</f>
        <v>CENTRE</v>
      </c>
      <c r="J592" s="35">
        <f>VLOOKUP(Tableau65[[#This Row],[Utilisateur]],Tableau3[[Prenoms (ID)]:[CABINET]],4,FALSE)</f>
        <v>0</v>
      </c>
    </row>
    <row r="593" spans="1:10" x14ac:dyDescent="0.25">
      <c r="A593" s="59">
        <v>45663</v>
      </c>
      <c r="B593" t="s">
        <v>28</v>
      </c>
      <c r="C593" s="44">
        <v>1</v>
      </c>
      <c r="D593" s="43" t="s">
        <v>49</v>
      </c>
      <c r="G593" t="s">
        <v>216</v>
      </c>
      <c r="H593" s="35">
        <f>VLOOKUP(Tableau65[[#This Row],[Utilisateur]],Tableau3[[Prenoms (ID)]:[Localisation]],2,FALSE)</f>
        <v>0</v>
      </c>
      <c r="I593" s="35" t="str">
        <f>VLOOKUP(Tableau65[[#This Row],[Utilisateur]],Tableau3[[Prenoms (ID)]:[Localisation]],3,FALSE)</f>
        <v>CENTRE</v>
      </c>
      <c r="J593" s="35">
        <f>VLOOKUP(Tableau65[[#This Row],[Utilisateur]],Tableau3[[Prenoms (ID)]:[CABINET]],4,FALSE)</f>
        <v>0</v>
      </c>
    </row>
    <row r="594" spans="1:10" x14ac:dyDescent="0.25">
      <c r="A594" s="46">
        <v>45663</v>
      </c>
      <c r="B594" t="s">
        <v>28</v>
      </c>
      <c r="C594" s="44">
        <v>1</v>
      </c>
      <c r="D594" s="43" t="s">
        <v>49</v>
      </c>
      <c r="G594" t="s">
        <v>218</v>
      </c>
      <c r="H594" s="35" t="str">
        <f>VLOOKUP(Tableau65[[#This Row],[Utilisateur]],Tableau3[[Prenoms (ID)]:[Localisation]],2,FALSE)</f>
        <v>ECCENTIVE</v>
      </c>
      <c r="I594" s="35" t="str">
        <f>VLOOKUP(Tableau65[[#This Row],[Utilisateur]],Tableau3[[Prenoms (ID)]:[Localisation]],3,FALSE)</f>
        <v>CENTRE</v>
      </c>
      <c r="J594" s="35">
        <f>VLOOKUP(Tableau65[[#This Row],[Utilisateur]],Tableau3[[Prenoms (ID)]:[CABINET]],4,FALSE)</f>
        <v>0</v>
      </c>
    </row>
    <row r="595" spans="1:10" x14ac:dyDescent="0.25">
      <c r="A595" s="50">
        <v>45663</v>
      </c>
      <c r="B595" t="s">
        <v>28</v>
      </c>
      <c r="C595" s="44">
        <v>1</v>
      </c>
      <c r="D595" s="43" t="s">
        <v>49</v>
      </c>
      <c r="G595" t="s">
        <v>220</v>
      </c>
      <c r="H595" s="35">
        <f>VLOOKUP(Tableau65[[#This Row],[Utilisateur]],Tableau3[[Prenoms (ID)]:[Localisation]],2,FALSE)</f>
        <v>0</v>
      </c>
      <c r="I595" s="35" t="str">
        <f>VLOOKUP(Tableau65[[#This Row],[Utilisateur]],Tableau3[[Prenoms (ID)]:[Localisation]],3,FALSE)</f>
        <v>MADAFIT</v>
      </c>
      <c r="J595" s="35">
        <f>VLOOKUP(Tableau65[[#This Row],[Utilisateur]],Tableau3[[Prenoms (ID)]:[CABINET]],4,FALSE)</f>
        <v>0</v>
      </c>
    </row>
    <row r="596" spans="1:10" x14ac:dyDescent="0.25">
      <c r="A596" s="50">
        <v>45663</v>
      </c>
      <c r="B596" t="s">
        <v>28</v>
      </c>
      <c r="C596" s="6">
        <v>1</v>
      </c>
      <c r="D596" s="43" t="s">
        <v>49</v>
      </c>
      <c r="G596" t="s">
        <v>225</v>
      </c>
      <c r="H596" s="35" t="str">
        <f>VLOOKUP(Tableau65[[#This Row],[Utilisateur]],Tableau3[[Prenoms (ID)]:[Localisation]],2,FALSE)</f>
        <v>AUDIT CPA</v>
      </c>
      <c r="I596" s="35" t="str">
        <f>VLOOKUP(Tableau65[[#This Row],[Utilisateur]],Tableau3[[Prenoms (ID)]:[Localisation]],3,FALSE)</f>
        <v>MATURA</v>
      </c>
      <c r="J596" s="35">
        <f>VLOOKUP(Tableau65[[#This Row],[Utilisateur]],Tableau3[[Prenoms (ID)]:[CABINET]],4,FALSE)</f>
        <v>0</v>
      </c>
    </row>
    <row r="597" spans="1:10" x14ac:dyDescent="0.25">
      <c r="A597" s="50">
        <v>45663</v>
      </c>
      <c r="B597" t="s">
        <v>28</v>
      </c>
      <c r="C597" s="6">
        <v>1</v>
      </c>
      <c r="D597" s="43" t="s">
        <v>49</v>
      </c>
      <c r="G597" t="s">
        <v>229</v>
      </c>
      <c r="H597" s="35" t="str">
        <f>VLOOKUP(Tableau65[[#This Row],[Utilisateur]],Tableau3[[Prenoms (ID)]:[Localisation]],2,FALSE)</f>
        <v>ADMIN</v>
      </c>
      <c r="I597" s="35" t="str">
        <f>VLOOKUP(Tableau65[[#This Row],[Utilisateur]],Tableau3[[Prenoms (ID)]:[Localisation]],3,FALSE)</f>
        <v>MATURA</v>
      </c>
      <c r="J597" s="35">
        <f>VLOOKUP(Tableau65[[#This Row],[Utilisateur]],Tableau3[[Prenoms (ID)]:[CABINET]],4,FALSE)</f>
        <v>0</v>
      </c>
    </row>
    <row r="598" spans="1:10" x14ac:dyDescent="0.25">
      <c r="A598" s="50">
        <v>45663</v>
      </c>
      <c r="B598" t="s">
        <v>28</v>
      </c>
      <c r="C598" s="6">
        <v>1</v>
      </c>
      <c r="D598" s="43" t="s">
        <v>49</v>
      </c>
      <c r="G598" t="s">
        <v>537</v>
      </c>
      <c r="H598" s="35" t="str">
        <f>VLOOKUP(Tableau65[[#This Row],[Utilisateur]],Tableau3[[Prenoms (ID)]:[Localisation]],2,FALSE)</f>
        <v>QUALITE</v>
      </c>
      <c r="I598" s="35" t="str">
        <f>VLOOKUP(Tableau65[[#This Row],[Utilisateur]],Tableau3[[Prenoms (ID)]:[Localisation]],3,FALSE)</f>
        <v>DIRECTION</v>
      </c>
      <c r="J598" s="35" t="str">
        <f>VLOOKUP(Tableau65[[#This Row],[Utilisateur]],Tableau3[[Prenoms (ID)]:[CABINET]],4,FALSE)</f>
        <v>CPA</v>
      </c>
    </row>
    <row r="599" spans="1:10" x14ac:dyDescent="0.25">
      <c r="A599" s="50">
        <v>45663</v>
      </c>
      <c r="B599" t="s">
        <v>54</v>
      </c>
      <c r="C599" s="6">
        <v>1</v>
      </c>
      <c r="D599" s="43" t="s">
        <v>49</v>
      </c>
      <c r="E599" t="s">
        <v>599</v>
      </c>
      <c r="G599" t="s">
        <v>234</v>
      </c>
      <c r="H599" s="35" t="str">
        <f>VLOOKUP(Tableau65[[#This Row],[Utilisateur]],Tableau3[[Prenoms (ID)]:[Localisation]],2,FALSE)</f>
        <v>RUEIL</v>
      </c>
      <c r="I599" s="35" t="str">
        <f>VLOOKUP(Tableau65[[#This Row],[Utilisateur]],Tableau3[[Prenoms (ID)]:[Localisation]],3,FALSE)</f>
        <v>BNI1</v>
      </c>
      <c r="J599" s="35">
        <f>VLOOKUP(Tableau65[[#This Row],[Utilisateur]],Tableau3[[Prenoms (ID)]:[CABINET]],4,FALSE)</f>
        <v>0</v>
      </c>
    </row>
    <row r="600" spans="1:10" x14ac:dyDescent="0.25">
      <c r="A600" s="50">
        <v>45663</v>
      </c>
      <c r="B600" t="s">
        <v>54</v>
      </c>
      <c r="C600" s="6">
        <v>1</v>
      </c>
      <c r="D600" s="43" t="s">
        <v>49</v>
      </c>
      <c r="E600" t="s">
        <v>599</v>
      </c>
      <c r="G600" t="s">
        <v>173</v>
      </c>
      <c r="H600" s="35" t="str">
        <f>VLOOKUP(Tableau65[[#This Row],[Utilisateur]],Tableau3[[Prenoms (ID)]:[Localisation]],2,FALSE)</f>
        <v>Optique / Sata</v>
      </c>
      <c r="I600" s="35" t="str">
        <f>VLOOKUP(Tableau65[[#This Row],[Utilisateur]],Tableau3[[Prenoms (ID)]:[Localisation]],3,FALSE)</f>
        <v>BNI1</v>
      </c>
      <c r="J600" s="35">
        <f>VLOOKUP(Tableau65[[#This Row],[Utilisateur]],Tableau3[[Prenoms (ID)]:[CABINET]],4,FALSE)</f>
        <v>0</v>
      </c>
    </row>
    <row r="601" spans="1:10" x14ac:dyDescent="0.25">
      <c r="A601" s="50">
        <v>45663</v>
      </c>
      <c r="B601" t="s">
        <v>54</v>
      </c>
      <c r="C601" s="6">
        <v>1</v>
      </c>
      <c r="D601" s="43" t="s">
        <v>49</v>
      </c>
      <c r="E601" t="s">
        <v>599</v>
      </c>
      <c r="G601" s="12" t="s">
        <v>175</v>
      </c>
      <c r="H601" s="35" t="str">
        <f>VLOOKUP(Tableau65[[#This Row],[Utilisateur]],Tableau3[[Prenoms (ID)]:[Localisation]],2,FALSE)</f>
        <v>EXAULIA</v>
      </c>
      <c r="I601" s="35" t="str">
        <f>VLOOKUP(Tableau65[[#This Row],[Utilisateur]],Tableau3[[Prenoms (ID)]:[Localisation]],3,FALSE)</f>
        <v>BNI1</v>
      </c>
      <c r="J601" s="35">
        <f>VLOOKUP(Tableau65[[#This Row],[Utilisateur]],Tableau3[[Prenoms (ID)]:[CABINET]],4,FALSE)</f>
        <v>0</v>
      </c>
    </row>
    <row r="602" spans="1:10" x14ac:dyDescent="0.25">
      <c r="A602" s="50">
        <v>45663</v>
      </c>
      <c r="B602" t="s">
        <v>54</v>
      </c>
      <c r="C602" s="6">
        <v>1</v>
      </c>
      <c r="D602" s="43" t="s">
        <v>49</v>
      </c>
      <c r="E602" t="s">
        <v>599</v>
      </c>
      <c r="G602" t="s">
        <v>242</v>
      </c>
      <c r="H602" s="35" t="str">
        <f>VLOOKUP(Tableau65[[#This Row],[Utilisateur]],Tableau3[[Prenoms (ID)]:[Localisation]],2,FALSE)</f>
        <v>ORANOVA</v>
      </c>
      <c r="I602" s="35" t="str">
        <f>VLOOKUP(Tableau65[[#This Row],[Utilisateur]],Tableau3[[Prenoms (ID)]:[Localisation]],3,FALSE)</f>
        <v>BNI1</v>
      </c>
      <c r="J602" s="35">
        <f>VLOOKUP(Tableau65[[#This Row],[Utilisateur]],Tableau3[[Prenoms (ID)]:[CABINET]],4,FALSE)</f>
        <v>0</v>
      </c>
    </row>
    <row r="603" spans="1:10" x14ac:dyDescent="0.25">
      <c r="A603" s="50">
        <v>45663</v>
      </c>
      <c r="B603" t="s">
        <v>54</v>
      </c>
      <c r="C603" s="6">
        <v>1</v>
      </c>
      <c r="D603" s="43" t="s">
        <v>49</v>
      </c>
      <c r="E603" t="s">
        <v>599</v>
      </c>
      <c r="G603" t="s">
        <v>179</v>
      </c>
      <c r="H603" s="35" t="str">
        <f>VLOOKUP(Tableau65[[#This Row],[Utilisateur]],Tableau3[[Prenoms (ID)]:[Localisation]],2,FALSE)</f>
        <v>ECCENTIVE</v>
      </c>
      <c r="I603" s="35" t="str">
        <f>VLOOKUP(Tableau65[[#This Row],[Utilisateur]],Tableau3[[Prenoms (ID)]:[Localisation]],3,FALSE)</f>
        <v>MADAFIT</v>
      </c>
      <c r="J603" s="35">
        <f>VLOOKUP(Tableau65[[#This Row],[Utilisateur]],Tableau3[[Prenoms (ID)]:[CABINET]],4,FALSE)</f>
        <v>0</v>
      </c>
    </row>
    <row r="604" spans="1:10" x14ac:dyDescent="0.25">
      <c r="A604" s="50">
        <v>45663</v>
      </c>
      <c r="B604" t="s">
        <v>54</v>
      </c>
      <c r="C604" s="6">
        <v>1</v>
      </c>
      <c r="D604" s="43" t="s">
        <v>49</v>
      </c>
      <c r="E604" t="s">
        <v>599</v>
      </c>
      <c r="G604" t="s">
        <v>181</v>
      </c>
      <c r="H604" s="35" t="str">
        <f>VLOOKUP(Tableau65[[#This Row],[Utilisateur]],Tableau3[[Prenoms (ID)]:[Localisation]],2,FALSE)</f>
        <v>TIIME</v>
      </c>
      <c r="I604" s="35">
        <f>VLOOKUP(Tableau65[[#This Row],[Utilisateur]],Tableau3[[Prenoms (ID)]:[Localisation]],3,FALSE)</f>
        <v>0</v>
      </c>
      <c r="J604" s="35">
        <f>VLOOKUP(Tableau65[[#This Row],[Utilisateur]],Tableau3[[Prenoms (ID)]:[CABINET]],4,FALSE)</f>
        <v>0</v>
      </c>
    </row>
    <row r="605" spans="1:10" x14ac:dyDescent="0.25">
      <c r="A605" s="50">
        <v>45663</v>
      </c>
      <c r="B605" t="s">
        <v>54</v>
      </c>
      <c r="C605" s="6">
        <v>1</v>
      </c>
      <c r="D605" s="43" t="s">
        <v>49</v>
      </c>
      <c r="E605" t="s">
        <v>599</v>
      </c>
      <c r="G605" t="s">
        <v>183</v>
      </c>
      <c r="H605" s="35" t="str">
        <f>VLOOKUP(Tableau65[[#This Row],[Utilisateur]],Tableau3[[Prenoms (ID)]:[Localisation]],2,FALSE)</f>
        <v>TIIME</v>
      </c>
      <c r="I605" s="35">
        <f>VLOOKUP(Tableau65[[#This Row],[Utilisateur]],Tableau3[[Prenoms (ID)]:[Localisation]],3,FALSE)</f>
        <v>0</v>
      </c>
      <c r="J605" s="35">
        <f>VLOOKUP(Tableau65[[#This Row],[Utilisateur]],Tableau3[[Prenoms (ID)]:[CABINET]],4,FALSE)</f>
        <v>0</v>
      </c>
    </row>
    <row r="606" spans="1:10" x14ac:dyDescent="0.25">
      <c r="A606" s="50">
        <v>45663</v>
      </c>
      <c r="B606" t="s">
        <v>54</v>
      </c>
      <c r="C606" s="6">
        <v>1</v>
      </c>
      <c r="D606" s="43" t="s">
        <v>49</v>
      </c>
      <c r="E606" t="s">
        <v>599</v>
      </c>
      <c r="G606" t="s">
        <v>186</v>
      </c>
      <c r="H606" s="35" t="str">
        <f>VLOOKUP(Tableau65[[#This Row],[Utilisateur]],Tableau3[[Prenoms (ID)]:[Localisation]],2,FALSE)</f>
        <v>ACCEFI</v>
      </c>
      <c r="I606" s="35" t="str">
        <f>VLOOKUP(Tableau65[[#This Row],[Utilisateur]],Tableau3[[Prenoms (ID)]:[Localisation]],3,FALSE)</f>
        <v>MADAFIT</v>
      </c>
      <c r="J606" s="35">
        <f>VLOOKUP(Tableau65[[#This Row],[Utilisateur]],Tableau3[[Prenoms (ID)]:[CABINET]],4,FALSE)</f>
        <v>0</v>
      </c>
    </row>
    <row r="607" spans="1:10" x14ac:dyDescent="0.25">
      <c r="A607" s="50">
        <v>45663</v>
      </c>
      <c r="B607" t="s">
        <v>54</v>
      </c>
      <c r="C607" s="6">
        <v>1</v>
      </c>
      <c r="D607" s="43" t="s">
        <v>49</v>
      </c>
      <c r="E607" t="s">
        <v>599</v>
      </c>
      <c r="G607" t="s">
        <v>193</v>
      </c>
      <c r="H607" s="35" t="str">
        <f>VLOOKUP(Tableau65[[#This Row],[Utilisateur]],Tableau3[[Prenoms (ID)]:[Localisation]],2,FALSE)</f>
        <v>AUDIT CPA</v>
      </c>
      <c r="I607" s="35" t="str">
        <f>VLOOKUP(Tableau65[[#This Row],[Utilisateur]],Tableau3[[Prenoms (ID)]:[Localisation]],3,FALSE)</f>
        <v>MADAFIT</v>
      </c>
      <c r="J607" s="35">
        <f>VLOOKUP(Tableau65[[#This Row],[Utilisateur]],Tableau3[[Prenoms (ID)]:[CABINET]],4,FALSE)</f>
        <v>0</v>
      </c>
    </row>
    <row r="608" spans="1:10" x14ac:dyDescent="0.25">
      <c r="A608" s="50">
        <v>45663</v>
      </c>
      <c r="B608" t="s">
        <v>54</v>
      </c>
      <c r="C608" s="6">
        <v>1</v>
      </c>
      <c r="D608" s="43" t="s">
        <v>49</v>
      </c>
      <c r="E608" t="s">
        <v>599</v>
      </c>
      <c r="G608" t="s">
        <v>196</v>
      </c>
      <c r="H608" s="35" t="str">
        <f>VLOOKUP(Tableau65[[#This Row],[Utilisateur]],Tableau3[[Prenoms (ID)]:[Localisation]],2,FALSE)</f>
        <v>AUDIT CPA</v>
      </c>
      <c r="I608" s="35" t="str">
        <f>VLOOKUP(Tableau65[[#This Row],[Utilisateur]],Tableau3[[Prenoms (ID)]:[Localisation]],3,FALSE)</f>
        <v>MADAFIT</v>
      </c>
      <c r="J608" s="35">
        <f>VLOOKUP(Tableau65[[#This Row],[Utilisateur]],Tableau3[[Prenoms (ID)]:[CABINET]],4,FALSE)</f>
        <v>0</v>
      </c>
    </row>
    <row r="609" spans="1:10" x14ac:dyDescent="0.25">
      <c r="A609" s="50">
        <v>45663</v>
      </c>
      <c r="B609" t="s">
        <v>54</v>
      </c>
      <c r="C609" s="6">
        <v>1</v>
      </c>
      <c r="D609" s="43" t="s">
        <v>49</v>
      </c>
      <c r="E609" t="s">
        <v>599</v>
      </c>
      <c r="G609" t="s">
        <v>198</v>
      </c>
      <c r="H609" s="35" t="str">
        <f>VLOOKUP(Tableau65[[#This Row],[Utilisateur]],Tableau3[[Prenoms (ID)]:[Localisation]],2,FALSE)</f>
        <v>Comptastar</v>
      </c>
      <c r="I609" s="35" t="str">
        <f>VLOOKUP(Tableau65[[#This Row],[Utilisateur]],Tableau3[[Prenoms (ID)]:[Localisation]],3,FALSE)</f>
        <v>CENTRE</v>
      </c>
      <c r="J609" s="35">
        <f>VLOOKUP(Tableau65[[#This Row],[Utilisateur]],Tableau3[[Prenoms (ID)]:[CABINET]],4,FALSE)</f>
        <v>0</v>
      </c>
    </row>
    <row r="610" spans="1:10" x14ac:dyDescent="0.25">
      <c r="A610" s="50">
        <v>45663</v>
      </c>
      <c r="B610" t="s">
        <v>54</v>
      </c>
      <c r="C610" s="6">
        <v>1</v>
      </c>
      <c r="D610" s="43" t="s">
        <v>49</v>
      </c>
      <c r="E610" t="s">
        <v>599</v>
      </c>
      <c r="G610" t="s">
        <v>200</v>
      </c>
      <c r="H610" s="35" t="str">
        <f>VLOOKUP(Tableau65[[#This Row],[Utilisateur]],Tableau3[[Prenoms (ID)]:[Localisation]],2,FALSE)</f>
        <v>Comptastar</v>
      </c>
      <c r="I610" s="35" t="str">
        <f>VLOOKUP(Tableau65[[#This Row],[Utilisateur]],Tableau3[[Prenoms (ID)]:[Localisation]],3,FALSE)</f>
        <v>CENTRE</v>
      </c>
      <c r="J610" s="35">
        <f>VLOOKUP(Tableau65[[#This Row],[Utilisateur]],Tableau3[[Prenoms (ID)]:[CABINET]],4,FALSE)</f>
        <v>0</v>
      </c>
    </row>
    <row r="611" spans="1:10" x14ac:dyDescent="0.25">
      <c r="A611" s="50">
        <v>45663</v>
      </c>
      <c r="B611" t="s">
        <v>54</v>
      </c>
      <c r="C611" s="6">
        <v>1</v>
      </c>
      <c r="D611" s="43" t="s">
        <v>49</v>
      </c>
      <c r="E611" t="s">
        <v>599</v>
      </c>
      <c r="G611" t="s">
        <v>202</v>
      </c>
      <c r="H611" s="35" t="str">
        <f>VLOOKUP(Tableau65[[#This Row],[Utilisateur]],Tableau3[[Prenoms (ID)]:[Localisation]],2,FALSE)</f>
        <v>Comptastar</v>
      </c>
      <c r="I611" s="35" t="str">
        <f>VLOOKUP(Tableau65[[#This Row],[Utilisateur]],Tableau3[[Prenoms (ID)]:[Localisation]],3,FALSE)</f>
        <v>CENTRE</v>
      </c>
      <c r="J611" s="35">
        <f>VLOOKUP(Tableau65[[#This Row],[Utilisateur]],Tableau3[[Prenoms (ID)]:[CABINET]],4,FALSE)</f>
        <v>0</v>
      </c>
    </row>
    <row r="612" spans="1:10" x14ac:dyDescent="0.25">
      <c r="A612" s="50">
        <v>45663</v>
      </c>
      <c r="B612" t="s">
        <v>54</v>
      </c>
      <c r="C612" s="6">
        <v>1</v>
      </c>
      <c r="D612" s="43" t="s">
        <v>49</v>
      </c>
      <c r="E612" t="s">
        <v>599</v>
      </c>
      <c r="G612" t="s">
        <v>205</v>
      </c>
      <c r="H612" s="35" t="str">
        <f>VLOOKUP(Tableau65[[#This Row],[Utilisateur]],Tableau3[[Prenoms (ID)]:[Localisation]],2,FALSE)</f>
        <v>Comptastar</v>
      </c>
      <c r="I612" s="35" t="str">
        <f>VLOOKUP(Tableau65[[#This Row],[Utilisateur]],Tableau3[[Prenoms (ID)]:[Localisation]],3,FALSE)</f>
        <v>CENTRE</v>
      </c>
      <c r="J612" s="35">
        <f>VLOOKUP(Tableau65[[#This Row],[Utilisateur]],Tableau3[[Prenoms (ID)]:[CABINET]],4,FALSE)</f>
        <v>0</v>
      </c>
    </row>
    <row r="613" spans="1:10" x14ac:dyDescent="0.25">
      <c r="A613" s="50">
        <v>45663</v>
      </c>
      <c r="B613" t="s">
        <v>54</v>
      </c>
      <c r="C613" s="6">
        <v>1</v>
      </c>
      <c r="D613" s="43" t="s">
        <v>49</v>
      </c>
      <c r="E613" t="s">
        <v>599</v>
      </c>
      <c r="G613" t="s">
        <v>208</v>
      </c>
      <c r="H613" s="35" t="str">
        <f>VLOOKUP(Tableau65[[#This Row],[Utilisateur]],Tableau3[[Prenoms (ID)]:[Localisation]],2,FALSE)</f>
        <v>Comptastar</v>
      </c>
      <c r="I613" s="35" t="str">
        <f>VLOOKUP(Tableau65[[#This Row],[Utilisateur]],Tableau3[[Prenoms (ID)]:[Localisation]],3,FALSE)</f>
        <v>CENTRE</v>
      </c>
      <c r="J613" s="35">
        <f>VLOOKUP(Tableau65[[#This Row],[Utilisateur]],Tableau3[[Prenoms (ID)]:[CABINET]],4,FALSE)</f>
        <v>0</v>
      </c>
    </row>
    <row r="614" spans="1:10" x14ac:dyDescent="0.25">
      <c r="A614" s="50">
        <v>45663</v>
      </c>
      <c r="B614" t="s">
        <v>54</v>
      </c>
      <c r="C614" s="6">
        <v>1</v>
      </c>
      <c r="D614" s="43" t="s">
        <v>49</v>
      </c>
      <c r="E614" t="s">
        <v>599</v>
      </c>
      <c r="G614" t="s">
        <v>210</v>
      </c>
      <c r="H614" s="35" t="str">
        <f>VLOOKUP(Tableau65[[#This Row],[Utilisateur]],Tableau3[[Prenoms (ID)]:[Localisation]],2,FALSE)</f>
        <v>Comptastar</v>
      </c>
      <c r="I614" s="35" t="str">
        <f>VLOOKUP(Tableau65[[#This Row],[Utilisateur]],Tableau3[[Prenoms (ID)]:[Localisation]],3,FALSE)</f>
        <v>CENTRE</v>
      </c>
      <c r="J614" s="35">
        <f>VLOOKUP(Tableau65[[#This Row],[Utilisateur]],Tableau3[[Prenoms (ID)]:[CABINET]],4,FALSE)</f>
        <v>0</v>
      </c>
    </row>
    <row r="615" spans="1:10" x14ac:dyDescent="0.25">
      <c r="A615" s="50">
        <v>45663</v>
      </c>
      <c r="B615" t="s">
        <v>54</v>
      </c>
      <c r="C615" s="6">
        <v>1</v>
      </c>
      <c r="D615" s="43" t="s">
        <v>49</v>
      </c>
      <c r="E615" t="s">
        <v>599</v>
      </c>
      <c r="G615" t="s">
        <v>212</v>
      </c>
      <c r="H615" s="35">
        <f>VLOOKUP(Tableau65[[#This Row],[Utilisateur]],Tableau3[[Prenoms (ID)]:[Localisation]],2,FALSE)</f>
        <v>0</v>
      </c>
      <c r="I615" s="35">
        <f>VLOOKUP(Tableau65[[#This Row],[Utilisateur]],Tableau3[[Prenoms (ID)]:[Localisation]],3,FALSE)</f>
        <v>0</v>
      </c>
      <c r="J615" s="35">
        <f>VLOOKUP(Tableau65[[#This Row],[Utilisateur]],Tableau3[[Prenoms (ID)]:[CABINET]],4,FALSE)</f>
        <v>0</v>
      </c>
    </row>
    <row r="616" spans="1:10" x14ac:dyDescent="0.25">
      <c r="A616" s="50">
        <v>45663</v>
      </c>
      <c r="B616" t="s">
        <v>54</v>
      </c>
      <c r="C616" s="6">
        <v>1</v>
      </c>
      <c r="D616" s="43" t="s">
        <v>49</v>
      </c>
      <c r="E616" t="s">
        <v>599</v>
      </c>
      <c r="G616" t="s">
        <v>214</v>
      </c>
      <c r="H616" s="35" t="str">
        <f>VLOOKUP(Tableau65[[#This Row],[Utilisateur]],Tableau3[[Prenoms (ID)]:[Localisation]],2,FALSE)</f>
        <v>ACCEFI</v>
      </c>
      <c r="I616" s="35" t="str">
        <f>VLOOKUP(Tableau65[[#This Row],[Utilisateur]],Tableau3[[Prenoms (ID)]:[Localisation]],3,FALSE)</f>
        <v>CENTRE</v>
      </c>
      <c r="J616" s="35">
        <f>VLOOKUP(Tableau65[[#This Row],[Utilisateur]],Tableau3[[Prenoms (ID)]:[CABINET]],4,FALSE)</f>
        <v>0</v>
      </c>
    </row>
    <row r="617" spans="1:10" x14ac:dyDescent="0.25">
      <c r="A617" s="50">
        <v>45663</v>
      </c>
      <c r="B617" t="s">
        <v>54</v>
      </c>
      <c r="C617" s="6">
        <v>1</v>
      </c>
      <c r="D617" s="43" t="s">
        <v>49</v>
      </c>
      <c r="E617" t="s">
        <v>599</v>
      </c>
      <c r="G617" t="s">
        <v>216</v>
      </c>
      <c r="H617" s="35">
        <f>VLOOKUP(Tableau65[[#This Row],[Utilisateur]],Tableau3[[Prenoms (ID)]:[Localisation]],2,FALSE)</f>
        <v>0</v>
      </c>
      <c r="I617" s="35" t="str">
        <f>VLOOKUP(Tableau65[[#This Row],[Utilisateur]],Tableau3[[Prenoms (ID)]:[Localisation]],3,FALSE)</f>
        <v>CENTRE</v>
      </c>
      <c r="J617" s="35">
        <f>VLOOKUP(Tableau65[[#This Row],[Utilisateur]],Tableau3[[Prenoms (ID)]:[CABINET]],4,FALSE)</f>
        <v>0</v>
      </c>
    </row>
    <row r="618" spans="1:10" x14ac:dyDescent="0.25">
      <c r="A618" s="50">
        <v>45663</v>
      </c>
      <c r="B618" t="s">
        <v>54</v>
      </c>
      <c r="C618" s="6">
        <v>1</v>
      </c>
      <c r="D618" s="43" t="s">
        <v>49</v>
      </c>
      <c r="E618" t="s">
        <v>599</v>
      </c>
      <c r="G618" t="s">
        <v>218</v>
      </c>
      <c r="H618" s="35" t="str">
        <f>VLOOKUP(Tableau65[[#This Row],[Utilisateur]],Tableau3[[Prenoms (ID)]:[Localisation]],2,FALSE)</f>
        <v>ECCENTIVE</v>
      </c>
      <c r="I618" s="35" t="str">
        <f>VLOOKUP(Tableau65[[#This Row],[Utilisateur]],Tableau3[[Prenoms (ID)]:[Localisation]],3,FALSE)</f>
        <v>CENTRE</v>
      </c>
      <c r="J618" s="35">
        <f>VLOOKUP(Tableau65[[#This Row],[Utilisateur]],Tableau3[[Prenoms (ID)]:[CABINET]],4,FALSE)</f>
        <v>0</v>
      </c>
    </row>
    <row r="619" spans="1:10" x14ac:dyDescent="0.25">
      <c r="A619" s="2">
        <v>45663</v>
      </c>
      <c r="B619" t="s">
        <v>52</v>
      </c>
      <c r="C619" s="57">
        <v>1</v>
      </c>
      <c r="D619" s="43" t="s">
        <v>49</v>
      </c>
      <c r="E619" t="s">
        <v>599</v>
      </c>
      <c r="G619" t="s">
        <v>173</v>
      </c>
      <c r="H619" s="35" t="str">
        <f>VLOOKUP(Tableau65[[#This Row],[Utilisateur]],Tableau3[[Prenoms (ID)]:[Localisation]],2,FALSE)</f>
        <v>Optique / Sata</v>
      </c>
      <c r="I619" s="35" t="str">
        <f>VLOOKUP(Tableau65[[#This Row],[Utilisateur]],Tableau3[[Prenoms (ID)]:[Localisation]],3,FALSE)</f>
        <v>BNI1</v>
      </c>
      <c r="J619" s="35">
        <f>VLOOKUP(Tableau65[[#This Row],[Utilisateur]],Tableau3[[Prenoms (ID)]:[CABINET]],4,FALSE)</f>
        <v>0</v>
      </c>
    </row>
    <row r="620" spans="1:10" x14ac:dyDescent="0.25">
      <c r="A620" s="2">
        <v>45663</v>
      </c>
      <c r="B620" t="s">
        <v>52</v>
      </c>
      <c r="C620" s="57">
        <v>1</v>
      </c>
      <c r="G620" t="s">
        <v>606</v>
      </c>
      <c r="H620" s="35" t="str">
        <f>VLOOKUP(Tableau65[[#This Row],[Utilisateur]],Tableau3[[Prenoms (ID)]:[Localisation]],2,FALSE)</f>
        <v>AUDIT CPA</v>
      </c>
      <c r="I620" s="35" t="str">
        <f>VLOOKUP(Tableau65[[#This Row],[Utilisateur]],Tableau3[[Prenoms (ID)]:[Localisation]],3,FALSE)</f>
        <v>MATURA</v>
      </c>
      <c r="J620" s="35">
        <f>VLOOKUP(Tableau65[[#This Row],[Utilisateur]],Tableau3[[Prenoms (ID)]:[CABINET]],4,FALSE)</f>
        <v>0</v>
      </c>
    </row>
    <row r="621" spans="1:10" x14ac:dyDescent="0.25">
      <c r="A621" s="2">
        <v>45663</v>
      </c>
      <c r="B621" t="s">
        <v>52</v>
      </c>
      <c r="C621" s="57">
        <v>1</v>
      </c>
      <c r="D621" s="43" t="s">
        <v>49</v>
      </c>
      <c r="E621" t="s">
        <v>599</v>
      </c>
      <c r="G621" t="s">
        <v>210</v>
      </c>
      <c r="H621" s="35" t="str">
        <f>VLOOKUP(Tableau65[[#This Row],[Utilisateur]],Tableau3[[Prenoms (ID)]:[Localisation]],2,FALSE)</f>
        <v>Comptastar</v>
      </c>
      <c r="I621" s="35" t="str">
        <f>VLOOKUP(Tableau65[[#This Row],[Utilisateur]],Tableau3[[Prenoms (ID)]:[Localisation]],3,FALSE)</f>
        <v>CENTRE</v>
      </c>
      <c r="J621" s="35">
        <f>VLOOKUP(Tableau65[[#This Row],[Utilisateur]],Tableau3[[Prenoms (ID)]:[CABINET]],4,FALSE)</f>
        <v>0</v>
      </c>
    </row>
    <row r="622" spans="1:10" x14ac:dyDescent="0.25">
      <c r="A622" s="2">
        <v>45663</v>
      </c>
      <c r="B622" t="s">
        <v>52</v>
      </c>
      <c r="C622" s="57">
        <v>1</v>
      </c>
      <c r="D622" s="43" t="s">
        <v>49</v>
      </c>
      <c r="E622" t="s">
        <v>599</v>
      </c>
      <c r="G622" t="s">
        <v>198</v>
      </c>
      <c r="H622" s="35" t="str">
        <f>VLOOKUP(Tableau65[[#This Row],[Utilisateur]],Tableau3[[Prenoms (ID)]:[Localisation]],2,FALSE)</f>
        <v>Comptastar</v>
      </c>
      <c r="I622" s="35" t="str">
        <f>VLOOKUP(Tableau65[[#This Row],[Utilisateur]],Tableau3[[Prenoms (ID)]:[Localisation]],3,FALSE)</f>
        <v>CENTRE</v>
      </c>
      <c r="J622" s="35">
        <f>VLOOKUP(Tableau65[[#This Row],[Utilisateur]],Tableau3[[Prenoms (ID)]:[CABINET]],4,FALSE)</f>
        <v>0</v>
      </c>
    </row>
    <row r="623" spans="1:10" x14ac:dyDescent="0.25">
      <c r="A623" s="2">
        <v>45663</v>
      </c>
      <c r="B623" t="s">
        <v>52</v>
      </c>
      <c r="C623" s="57">
        <v>1</v>
      </c>
      <c r="D623" s="43" t="s">
        <v>49</v>
      </c>
      <c r="E623" t="s">
        <v>599</v>
      </c>
      <c r="G623" t="s">
        <v>181</v>
      </c>
      <c r="H623" s="35" t="str">
        <f>VLOOKUP(Tableau65[[#This Row],[Utilisateur]],Tableau3[[Prenoms (ID)]:[Localisation]],2,FALSE)</f>
        <v>TIIME</v>
      </c>
      <c r="I623" s="35">
        <f>VLOOKUP(Tableau65[[#This Row],[Utilisateur]],Tableau3[[Prenoms (ID)]:[Localisation]],3,FALSE)</f>
        <v>0</v>
      </c>
      <c r="J623" s="35">
        <f>VLOOKUP(Tableau65[[#This Row],[Utilisateur]],Tableau3[[Prenoms (ID)]:[CABINET]],4,FALSE)</f>
        <v>0</v>
      </c>
    </row>
    <row r="624" spans="1:10" x14ac:dyDescent="0.25">
      <c r="A624" s="2">
        <v>45663</v>
      </c>
      <c r="B624" t="s">
        <v>52</v>
      </c>
      <c r="C624" s="57">
        <v>1</v>
      </c>
      <c r="D624" s="43" t="s">
        <v>49</v>
      </c>
      <c r="E624" t="s">
        <v>599</v>
      </c>
      <c r="G624" t="s">
        <v>205</v>
      </c>
      <c r="H624" s="35" t="str">
        <f>VLOOKUP(Tableau65[[#This Row],[Utilisateur]],Tableau3[[Prenoms (ID)]:[Localisation]],2,FALSE)</f>
        <v>Comptastar</v>
      </c>
      <c r="I624" s="35" t="str">
        <f>VLOOKUP(Tableau65[[#This Row],[Utilisateur]],Tableau3[[Prenoms (ID)]:[Localisation]],3,FALSE)</f>
        <v>CENTRE</v>
      </c>
      <c r="J624" s="35">
        <f>VLOOKUP(Tableau65[[#This Row],[Utilisateur]],Tableau3[[Prenoms (ID)]:[CABINET]],4,FALSE)</f>
        <v>0</v>
      </c>
    </row>
    <row r="625" spans="1:10" x14ac:dyDescent="0.25">
      <c r="A625" s="2">
        <v>45663</v>
      </c>
      <c r="B625" t="s">
        <v>25</v>
      </c>
      <c r="C625" s="6">
        <v>1</v>
      </c>
      <c r="D625" t="s">
        <v>49</v>
      </c>
      <c r="G625" t="s">
        <v>537</v>
      </c>
      <c r="H625" s="35" t="str">
        <f>VLOOKUP(Tableau65[[#This Row],[Utilisateur]],Tableau3[[Prenoms (ID)]:[Localisation]],2,FALSE)</f>
        <v>QUALITE</v>
      </c>
      <c r="I625" s="35" t="str">
        <f>VLOOKUP(Tableau65[[#This Row],[Utilisateur]],Tableau3[[Prenoms (ID)]:[Localisation]],3,FALSE)</f>
        <v>DIRECTION</v>
      </c>
      <c r="J625" s="35" t="str">
        <f>VLOOKUP(Tableau65[[#This Row],[Utilisateur]],Tableau3[[Prenoms (ID)]:[CABINET]],4,FALSE)</f>
        <v>CPA</v>
      </c>
    </row>
    <row r="626" spans="1:10" x14ac:dyDescent="0.25">
      <c r="A626" s="2">
        <v>45663</v>
      </c>
      <c r="B626" t="s">
        <v>25</v>
      </c>
      <c r="C626" s="6">
        <v>1</v>
      </c>
      <c r="D626" t="s">
        <v>49</v>
      </c>
      <c r="G626" t="s">
        <v>218</v>
      </c>
      <c r="H626" s="35" t="str">
        <f>VLOOKUP(Tableau65[[#This Row],[Utilisateur]],Tableau3[[Prenoms (ID)]:[Localisation]],2,FALSE)</f>
        <v>ECCENTIVE</v>
      </c>
      <c r="I626" s="35" t="str">
        <f>VLOOKUP(Tableau65[[#This Row],[Utilisateur]],Tableau3[[Prenoms (ID)]:[Localisation]],3,FALSE)</f>
        <v>CENTRE</v>
      </c>
      <c r="J626" s="35">
        <f>VLOOKUP(Tableau65[[#This Row],[Utilisateur]],Tableau3[[Prenoms (ID)]:[CABINET]],4,FALSE)</f>
        <v>0</v>
      </c>
    </row>
    <row r="627" spans="1:10" x14ac:dyDescent="0.25">
      <c r="A627" s="2">
        <v>45663</v>
      </c>
      <c r="B627" t="s">
        <v>25</v>
      </c>
      <c r="C627" s="6">
        <v>1</v>
      </c>
      <c r="D627" t="s">
        <v>49</v>
      </c>
      <c r="G627" t="s">
        <v>214</v>
      </c>
      <c r="H627" s="35" t="str">
        <f>VLOOKUP(Tableau65[[#This Row],[Utilisateur]],Tableau3[[Prenoms (ID)]:[Localisation]],2,FALSE)</f>
        <v>ACCEFI</v>
      </c>
      <c r="I627" s="35" t="str">
        <f>VLOOKUP(Tableau65[[#This Row],[Utilisateur]],Tableau3[[Prenoms (ID)]:[Localisation]],3,FALSE)</f>
        <v>CENTRE</v>
      </c>
      <c r="J627" s="35">
        <f>VLOOKUP(Tableau65[[#This Row],[Utilisateur]],Tableau3[[Prenoms (ID)]:[CABINET]],4,FALSE)</f>
        <v>0</v>
      </c>
    </row>
    <row r="628" spans="1:10" x14ac:dyDescent="0.25">
      <c r="A628" s="2">
        <v>45663</v>
      </c>
      <c r="B628" t="s">
        <v>25</v>
      </c>
      <c r="C628" s="6">
        <v>1</v>
      </c>
      <c r="D628" t="s">
        <v>49</v>
      </c>
      <c r="G628" t="s">
        <v>216</v>
      </c>
      <c r="H628" s="35">
        <f>VLOOKUP(Tableau65[[#This Row],[Utilisateur]],Tableau3[[Prenoms (ID)]:[Localisation]],2,FALSE)</f>
        <v>0</v>
      </c>
      <c r="I628" s="35" t="str">
        <f>VLOOKUP(Tableau65[[#This Row],[Utilisateur]],Tableau3[[Prenoms (ID)]:[Localisation]],3,FALSE)</f>
        <v>CENTRE</v>
      </c>
      <c r="J628" s="35">
        <f>VLOOKUP(Tableau65[[#This Row],[Utilisateur]],Tableau3[[Prenoms (ID)]:[CABINET]],4,FALSE)</f>
        <v>0</v>
      </c>
    </row>
    <row r="629" spans="1:10" x14ac:dyDescent="0.25">
      <c r="A629" s="2">
        <v>45663</v>
      </c>
      <c r="B629" t="s">
        <v>25</v>
      </c>
      <c r="C629" s="6">
        <v>1</v>
      </c>
      <c r="D629" t="s">
        <v>49</v>
      </c>
      <c r="G629" t="s">
        <v>198</v>
      </c>
      <c r="H629" s="35" t="str">
        <f>VLOOKUP(Tableau65[[#This Row],[Utilisateur]],Tableau3[[Prenoms (ID)]:[Localisation]],2,FALSE)</f>
        <v>Comptastar</v>
      </c>
      <c r="I629" s="35" t="str">
        <f>VLOOKUP(Tableau65[[#This Row],[Utilisateur]],Tableau3[[Prenoms (ID)]:[Localisation]],3,FALSE)</f>
        <v>CENTRE</v>
      </c>
      <c r="J629" s="35">
        <f>VLOOKUP(Tableau65[[#This Row],[Utilisateur]],Tableau3[[Prenoms (ID)]:[CABINET]],4,FALSE)</f>
        <v>0</v>
      </c>
    </row>
    <row r="630" spans="1:10" x14ac:dyDescent="0.25">
      <c r="A630" s="2">
        <v>45663</v>
      </c>
      <c r="B630" t="s">
        <v>25</v>
      </c>
      <c r="C630" s="6">
        <v>1</v>
      </c>
      <c r="D630" t="s">
        <v>49</v>
      </c>
      <c r="G630" t="s">
        <v>208</v>
      </c>
      <c r="H630" s="35" t="str">
        <f>VLOOKUP(Tableau65[[#This Row],[Utilisateur]],Tableau3[[Prenoms (ID)]:[Localisation]],2,FALSE)</f>
        <v>Comptastar</v>
      </c>
      <c r="I630" s="35" t="str">
        <f>VLOOKUP(Tableau65[[#This Row],[Utilisateur]],Tableau3[[Prenoms (ID)]:[Localisation]],3,FALSE)</f>
        <v>CENTRE</v>
      </c>
      <c r="J630" s="35">
        <f>VLOOKUP(Tableau65[[#This Row],[Utilisateur]],Tableau3[[Prenoms (ID)]:[CABINET]],4,FALSE)</f>
        <v>0</v>
      </c>
    </row>
    <row r="631" spans="1:10" x14ac:dyDescent="0.25">
      <c r="A631" s="2">
        <v>45663</v>
      </c>
      <c r="B631" t="s">
        <v>52</v>
      </c>
      <c r="C631" s="57">
        <v>1</v>
      </c>
      <c r="D631" s="43" t="s">
        <v>49</v>
      </c>
      <c r="E631" t="s">
        <v>599</v>
      </c>
      <c r="G631" t="s">
        <v>202</v>
      </c>
      <c r="H631" s="35" t="str">
        <f>VLOOKUP(Tableau65[[#This Row],[Utilisateur]],Tableau3[[Prenoms (ID)]:[Localisation]],2,FALSE)</f>
        <v>Comptastar</v>
      </c>
      <c r="I631" s="35" t="str">
        <f>VLOOKUP(Tableau65[[#This Row],[Utilisateur]],Tableau3[[Prenoms (ID)]:[Localisation]],3,FALSE)</f>
        <v>CENTRE</v>
      </c>
      <c r="J631" s="35">
        <f>VLOOKUP(Tableau65[[#This Row],[Utilisateur]],Tableau3[[Prenoms (ID)]:[CABINET]],4,FALSE)</f>
        <v>0</v>
      </c>
    </row>
    <row r="632" spans="1:10" x14ac:dyDescent="0.25">
      <c r="A632" s="2">
        <v>45663</v>
      </c>
      <c r="B632" t="s">
        <v>52</v>
      </c>
      <c r="C632" s="57">
        <v>1</v>
      </c>
      <c r="G632" t="s">
        <v>446</v>
      </c>
      <c r="H632" s="35" t="str">
        <f>VLOOKUP(Tableau65[[#This Row],[Utilisateur]],Tableau3[[Prenoms (ID)]:[Localisation]],2,FALSE)</f>
        <v>Optique / Sata</v>
      </c>
      <c r="I632" s="35" t="str">
        <f>VLOOKUP(Tableau65[[#This Row],[Utilisateur]],Tableau3[[Prenoms (ID)]:[Localisation]],3,FALSE)</f>
        <v>BNI1</v>
      </c>
      <c r="J632" s="35">
        <f>VLOOKUP(Tableau65[[#This Row],[Utilisateur]],Tableau3[[Prenoms (ID)]:[CABINET]],4,FALSE)</f>
        <v>0</v>
      </c>
    </row>
    <row r="633" spans="1:10" x14ac:dyDescent="0.25">
      <c r="A633" s="2">
        <v>45663</v>
      </c>
      <c r="B633" t="s">
        <v>52</v>
      </c>
      <c r="C633" s="57">
        <v>1</v>
      </c>
      <c r="D633" s="43" t="s">
        <v>49</v>
      </c>
      <c r="E633" t="s">
        <v>599</v>
      </c>
      <c r="G633" t="s">
        <v>200</v>
      </c>
      <c r="H633" s="35" t="str">
        <f>VLOOKUP(Tableau65[[#This Row],[Utilisateur]],Tableau3[[Prenoms (ID)]:[Localisation]],2,FALSE)</f>
        <v>Comptastar</v>
      </c>
      <c r="I633" s="35" t="str">
        <f>VLOOKUP(Tableau65[[#This Row],[Utilisateur]],Tableau3[[Prenoms (ID)]:[Localisation]],3,FALSE)</f>
        <v>CENTRE</v>
      </c>
      <c r="J633" s="35">
        <f>VLOOKUP(Tableau65[[#This Row],[Utilisateur]],Tableau3[[Prenoms (ID)]:[CABINET]],4,FALSE)</f>
        <v>0</v>
      </c>
    </row>
    <row r="634" spans="1:10" x14ac:dyDescent="0.25">
      <c r="A634" s="2">
        <v>45664</v>
      </c>
      <c r="B634" t="s">
        <v>52</v>
      </c>
      <c r="C634" s="57">
        <v>1</v>
      </c>
      <c r="D634" s="43" t="s">
        <v>49</v>
      </c>
      <c r="E634" t="s">
        <v>599</v>
      </c>
      <c r="G634" t="s">
        <v>162</v>
      </c>
      <c r="H634" s="35" t="str">
        <f>VLOOKUP(Tableau65[[#This Row],[Utilisateur]],Tableau3[[Prenoms (ID)]:[Localisation]],2,FALSE)</f>
        <v>Optique / Mirado</v>
      </c>
      <c r="I634" s="35" t="str">
        <f>VLOOKUP(Tableau65[[#This Row],[Utilisateur]],Tableau3[[Prenoms (ID)]:[Localisation]],3,FALSE)</f>
        <v>BNI1</v>
      </c>
      <c r="J634" s="35">
        <f>VLOOKUP(Tableau65[[#This Row],[Utilisateur]],Tableau3[[Prenoms (ID)]:[CABINET]],4,FALSE)</f>
        <v>0</v>
      </c>
    </row>
    <row r="635" spans="1:10" x14ac:dyDescent="0.25">
      <c r="A635" s="2">
        <v>45664</v>
      </c>
      <c r="B635" t="s">
        <v>52</v>
      </c>
      <c r="C635" s="57">
        <v>1</v>
      </c>
      <c r="D635" s="43" t="s">
        <v>49</v>
      </c>
      <c r="E635" t="s">
        <v>599</v>
      </c>
      <c r="G635" t="s">
        <v>159</v>
      </c>
      <c r="H635" s="35" t="str">
        <f>VLOOKUP(Tableau65[[#This Row],[Utilisateur]],Tableau3[[Prenoms (ID)]:[Localisation]],2,FALSE)</f>
        <v>Optique / Sata</v>
      </c>
      <c r="I635" s="35" t="str">
        <f>VLOOKUP(Tableau65[[#This Row],[Utilisateur]],Tableau3[[Prenoms (ID)]:[Localisation]],3,FALSE)</f>
        <v>BNI1</v>
      </c>
      <c r="J635" s="35">
        <f>VLOOKUP(Tableau65[[#This Row],[Utilisateur]],Tableau3[[Prenoms (ID)]:[CABINET]],4,FALSE)</f>
        <v>0</v>
      </c>
    </row>
    <row r="636" spans="1:10" x14ac:dyDescent="0.25">
      <c r="A636" s="46">
        <v>45664</v>
      </c>
      <c r="B636" s="27" t="s">
        <v>233</v>
      </c>
      <c r="C636" s="6">
        <v>1</v>
      </c>
      <c r="D636" t="s">
        <v>49</v>
      </c>
      <c r="G636" t="s">
        <v>234</v>
      </c>
      <c r="H636" s="35" t="str">
        <f>VLOOKUP(Tableau65[[#This Row],[Utilisateur]],Tableau3[[Prenoms (ID)]:[Localisation]],2,FALSE)</f>
        <v>RUEIL</v>
      </c>
      <c r="I636" s="35" t="str">
        <f>VLOOKUP(Tableau65[[#This Row],[Utilisateur]],Tableau3[[Prenoms (ID)]:[Localisation]],3,FALSE)</f>
        <v>BNI1</v>
      </c>
      <c r="J636" s="35">
        <f>VLOOKUP(Tableau65[[#This Row],[Utilisateur]],Tableau3[[Prenoms (ID)]:[CABINET]],4,FALSE)</f>
        <v>0</v>
      </c>
    </row>
    <row r="637" spans="1:10" x14ac:dyDescent="0.25">
      <c r="A637" s="46">
        <v>45664</v>
      </c>
      <c r="B637" s="27" t="s">
        <v>158</v>
      </c>
      <c r="C637" s="6">
        <v>1</v>
      </c>
      <c r="D637" t="s">
        <v>49</v>
      </c>
      <c r="G637" t="s">
        <v>236</v>
      </c>
      <c r="H637" s="35" t="str">
        <f>VLOOKUP(Tableau65[[#This Row],[Utilisateur]],Tableau3[[Prenoms (ID)]:[Localisation]],2,FALSE)</f>
        <v>RUEIL</v>
      </c>
      <c r="I637" s="35" t="str">
        <f>VLOOKUP(Tableau65[[#This Row],[Utilisateur]],Tableau3[[Prenoms (ID)]:[Localisation]],3,FALSE)</f>
        <v>BNI1</v>
      </c>
      <c r="J637" s="35">
        <f>VLOOKUP(Tableau65[[#This Row],[Utilisateur]],Tableau3[[Prenoms (ID)]:[CABINET]],4,FALSE)</f>
        <v>0</v>
      </c>
    </row>
    <row r="638" spans="1:10" x14ac:dyDescent="0.25">
      <c r="A638" s="46">
        <v>45664</v>
      </c>
      <c r="B638" s="27" t="s">
        <v>238</v>
      </c>
      <c r="C638" s="6">
        <v>1</v>
      </c>
      <c r="D638" t="s">
        <v>49</v>
      </c>
      <c r="G638" t="s">
        <v>239</v>
      </c>
      <c r="H638" s="35" t="str">
        <f>VLOOKUP(Tableau65[[#This Row],[Utilisateur]],Tableau3[[Prenoms (ID)]:[Localisation]],2,FALSE)</f>
        <v>Optique / Mirado</v>
      </c>
      <c r="I638" s="35" t="str">
        <f>VLOOKUP(Tableau65[[#This Row],[Utilisateur]],Tableau3[[Prenoms (ID)]:[Localisation]],3,FALSE)</f>
        <v>BNI1</v>
      </c>
      <c r="J638" s="35">
        <f>VLOOKUP(Tableau65[[#This Row],[Utilisateur]],Tableau3[[Prenoms (ID)]:[CABINET]],4,FALSE)</f>
        <v>0</v>
      </c>
    </row>
    <row r="639" spans="1:10" x14ac:dyDescent="0.25">
      <c r="A639" s="46">
        <v>45664</v>
      </c>
      <c r="B639" t="s">
        <v>28</v>
      </c>
      <c r="C639" s="44">
        <v>1</v>
      </c>
      <c r="D639" s="43" t="s">
        <v>49</v>
      </c>
      <c r="G639" t="s">
        <v>234</v>
      </c>
      <c r="H639" s="35" t="str">
        <f>VLOOKUP(Tableau65[[#This Row],[Utilisateur]],Tableau3[[Prenoms (ID)]:[Localisation]],2,FALSE)</f>
        <v>RUEIL</v>
      </c>
      <c r="I639" s="35" t="str">
        <f>VLOOKUP(Tableau65[[#This Row],[Utilisateur]],Tableau3[[Prenoms (ID)]:[Localisation]],3,FALSE)</f>
        <v>BNI1</v>
      </c>
      <c r="J639" s="35">
        <f>VLOOKUP(Tableau65[[#This Row],[Utilisateur]],Tableau3[[Prenoms (ID)]:[CABINET]],4,FALSE)</f>
        <v>0</v>
      </c>
    </row>
    <row r="640" spans="1:10" x14ac:dyDescent="0.25">
      <c r="A640" s="46">
        <v>45664</v>
      </c>
      <c r="B640" t="s">
        <v>28</v>
      </c>
      <c r="C640" s="44">
        <v>1</v>
      </c>
      <c r="D640" s="43" t="s">
        <v>49</v>
      </c>
      <c r="G640" t="s">
        <v>236</v>
      </c>
      <c r="H640" s="35" t="str">
        <f>VLOOKUP(Tableau65[[#This Row],[Utilisateur]],Tableau3[[Prenoms (ID)]:[Localisation]],2,FALSE)</f>
        <v>RUEIL</v>
      </c>
      <c r="I640" s="35" t="str">
        <f>VLOOKUP(Tableau65[[#This Row],[Utilisateur]],Tableau3[[Prenoms (ID)]:[Localisation]],3,FALSE)</f>
        <v>BNI1</v>
      </c>
      <c r="J640" s="35">
        <f>VLOOKUP(Tableau65[[#This Row],[Utilisateur]],Tableau3[[Prenoms (ID)]:[CABINET]],4,FALSE)</f>
        <v>0</v>
      </c>
    </row>
    <row r="641" spans="1:13" x14ac:dyDescent="0.25">
      <c r="A641" s="46">
        <v>45664</v>
      </c>
      <c r="B641" t="s">
        <v>28</v>
      </c>
      <c r="C641" s="44">
        <v>1</v>
      </c>
      <c r="D641" s="43" t="s">
        <v>49</v>
      </c>
      <c r="G641" t="s">
        <v>239</v>
      </c>
      <c r="H641" s="35" t="str">
        <f>VLOOKUP(Tableau65[[#This Row],[Utilisateur]],Tableau3[[Prenoms (ID)]:[Localisation]],2,FALSE)</f>
        <v>Optique / Mirado</v>
      </c>
      <c r="I641" s="35" t="str">
        <f>VLOOKUP(Tableau65[[#This Row],[Utilisateur]],Tableau3[[Prenoms (ID)]:[Localisation]],3,FALSE)</f>
        <v>BNI1</v>
      </c>
      <c r="J641" s="35">
        <f>VLOOKUP(Tableau65[[#This Row],[Utilisateur]],Tableau3[[Prenoms (ID)]:[CABINET]],4,FALSE)</f>
        <v>0</v>
      </c>
    </row>
    <row r="642" spans="1:13" x14ac:dyDescent="0.25">
      <c r="A642" s="50">
        <v>45664</v>
      </c>
      <c r="B642" t="s">
        <v>54</v>
      </c>
      <c r="C642" s="6">
        <v>1</v>
      </c>
      <c r="D642" s="43" t="s">
        <v>49</v>
      </c>
      <c r="E642" t="s">
        <v>599</v>
      </c>
      <c r="G642" t="s">
        <v>159</v>
      </c>
      <c r="H642" s="35" t="str">
        <f>VLOOKUP(Tableau65[[#This Row],[Utilisateur]],Tableau3[[Prenoms (ID)]:[Localisation]],2,FALSE)</f>
        <v>Optique / Sata</v>
      </c>
      <c r="I642" s="35" t="str">
        <f>VLOOKUP(Tableau65[[#This Row],[Utilisateur]],Tableau3[[Prenoms (ID)]:[Localisation]],3,FALSE)</f>
        <v>BNI1</v>
      </c>
      <c r="J642" s="35">
        <f>VLOOKUP(Tableau65[[#This Row],[Utilisateur]],Tableau3[[Prenoms (ID)]:[CABINET]],4,FALSE)</f>
        <v>0</v>
      </c>
    </row>
    <row r="643" spans="1:13" x14ac:dyDescent="0.25">
      <c r="A643" s="50">
        <v>45664</v>
      </c>
      <c r="B643" t="s">
        <v>54</v>
      </c>
      <c r="C643" s="6">
        <v>1</v>
      </c>
      <c r="D643" s="43" t="s">
        <v>49</v>
      </c>
      <c r="E643" t="s">
        <v>599</v>
      </c>
      <c r="G643" t="s">
        <v>162</v>
      </c>
      <c r="H643" s="35" t="str">
        <f>VLOOKUP(Tableau65[[#This Row],[Utilisateur]],Tableau3[[Prenoms (ID)]:[Localisation]],2,FALSE)</f>
        <v>Optique / Mirado</v>
      </c>
      <c r="I643" s="35" t="str">
        <f>VLOOKUP(Tableau65[[#This Row],[Utilisateur]],Tableau3[[Prenoms (ID)]:[Localisation]],3,FALSE)</f>
        <v>BNI1</v>
      </c>
      <c r="J643" s="35">
        <f>VLOOKUP(Tableau65[[#This Row],[Utilisateur]],Tableau3[[Prenoms (ID)]:[CABINET]],4,FALSE)</f>
        <v>0</v>
      </c>
    </row>
    <row r="644" spans="1:13" x14ac:dyDescent="0.25">
      <c r="A644" s="50">
        <v>45664</v>
      </c>
      <c r="B644" t="s">
        <v>54</v>
      </c>
      <c r="C644" s="6">
        <v>1</v>
      </c>
      <c r="D644" s="43" t="s">
        <v>49</v>
      </c>
      <c r="E644" t="s">
        <v>599</v>
      </c>
      <c r="G644" t="s">
        <v>171</v>
      </c>
      <c r="H644" s="35" t="str">
        <f>VLOOKUP(Tableau65[[#This Row],[Utilisateur]],Tableau3[[Prenoms (ID)]:[Localisation]],2,FALSE)</f>
        <v>EXAULIA</v>
      </c>
      <c r="I644" s="35" t="str">
        <f>VLOOKUP(Tableau65[[#This Row],[Utilisateur]],Tableau3[[Prenoms (ID)]:[Localisation]],3,FALSE)</f>
        <v>BNI1</v>
      </c>
      <c r="J644" s="35">
        <f>VLOOKUP(Tableau65[[#This Row],[Utilisateur]],Tableau3[[Prenoms (ID)]:[CABINET]],4,FALSE)</f>
        <v>0</v>
      </c>
    </row>
    <row r="645" spans="1:13" x14ac:dyDescent="0.25">
      <c r="A645" s="2">
        <v>45664</v>
      </c>
      <c r="B645" t="s">
        <v>52</v>
      </c>
      <c r="C645" s="57">
        <v>1</v>
      </c>
      <c r="D645" s="43" t="s">
        <v>49</v>
      </c>
      <c r="E645" t="s">
        <v>599</v>
      </c>
      <c r="G645" t="s">
        <v>171</v>
      </c>
      <c r="H645" s="35" t="str">
        <f>VLOOKUP(Tableau65[[#This Row],[Utilisateur]],Tableau3[[Prenoms (ID)]:[Localisation]],2,FALSE)</f>
        <v>EXAULIA</v>
      </c>
      <c r="I645" s="35" t="str">
        <f>VLOOKUP(Tableau65[[#This Row],[Utilisateur]],Tableau3[[Prenoms (ID)]:[Localisation]],3,FALSE)</f>
        <v>BNI1</v>
      </c>
      <c r="J645" s="35">
        <f>VLOOKUP(Tableau65[[#This Row],[Utilisateur]],Tableau3[[Prenoms (ID)]:[CABINET]],4,FALSE)</f>
        <v>0</v>
      </c>
    </row>
    <row r="646" spans="1:13" x14ac:dyDescent="0.25">
      <c r="A646" s="2">
        <v>45665</v>
      </c>
      <c r="B646" t="s">
        <v>52</v>
      </c>
      <c r="C646" s="57">
        <v>1</v>
      </c>
      <c r="D646" s="43" t="s">
        <v>49</v>
      </c>
      <c r="E646" t="s">
        <v>599</v>
      </c>
      <c r="G646" t="s">
        <v>177</v>
      </c>
      <c r="H646" s="35" t="str">
        <f>VLOOKUP(Tableau65[[#This Row],[Utilisateur]],Tableau3[[Prenoms (ID)]:[Localisation]],2,FALSE)</f>
        <v>FEDIS</v>
      </c>
      <c r="I646" s="35" t="str">
        <f>VLOOKUP(Tableau65[[#This Row],[Utilisateur]],Tableau3[[Prenoms (ID)]:[Localisation]],3,FALSE)</f>
        <v>MADAFIT</v>
      </c>
      <c r="J646" s="35">
        <f>VLOOKUP(Tableau65[[#This Row],[Utilisateur]],Tableau3[[Prenoms (ID)]:[CABINET]],4,FALSE)</f>
        <v>0</v>
      </c>
    </row>
    <row r="647" spans="1:13" x14ac:dyDescent="0.25">
      <c r="A647" s="46">
        <v>45665</v>
      </c>
      <c r="B647" s="27" t="s">
        <v>241</v>
      </c>
      <c r="C647" s="6">
        <v>1</v>
      </c>
      <c r="D647" t="s">
        <v>49</v>
      </c>
      <c r="G647" t="s">
        <v>242</v>
      </c>
      <c r="H647" s="35" t="str">
        <f>VLOOKUP(Tableau65[[#This Row],[Utilisateur]],Tableau3[[Prenoms (ID)]:[Localisation]],2,FALSE)</f>
        <v>ORANOVA</v>
      </c>
      <c r="I647" s="35" t="str">
        <f>VLOOKUP(Tableau65[[#This Row],[Utilisateur]],Tableau3[[Prenoms (ID)]:[Localisation]],3,FALSE)</f>
        <v>BNI1</v>
      </c>
      <c r="J647" s="35">
        <f>VLOOKUP(Tableau65[[#This Row],[Utilisateur]],Tableau3[[Prenoms (ID)]:[CABINET]],4,FALSE)</f>
        <v>0</v>
      </c>
    </row>
    <row r="648" spans="1:13" x14ac:dyDescent="0.25">
      <c r="A648" s="46">
        <v>45665</v>
      </c>
      <c r="B648" t="s">
        <v>28</v>
      </c>
      <c r="C648" s="44">
        <v>1</v>
      </c>
      <c r="D648" s="43" t="s">
        <v>49</v>
      </c>
      <c r="G648" t="s">
        <v>242</v>
      </c>
      <c r="H648" s="35" t="str">
        <f>VLOOKUP(Tableau65[[#This Row],[Utilisateur]],Tableau3[[Prenoms (ID)]:[Localisation]],2,FALSE)</f>
        <v>ORANOVA</v>
      </c>
      <c r="I648" s="35" t="str">
        <f>VLOOKUP(Tableau65[[#This Row],[Utilisateur]],Tableau3[[Prenoms (ID)]:[Localisation]],3,FALSE)</f>
        <v>BNI1</v>
      </c>
      <c r="J648" s="35">
        <f>VLOOKUP(Tableau65[[#This Row],[Utilisateur]],Tableau3[[Prenoms (ID)]:[CABINET]],4,FALSE)</f>
        <v>0</v>
      </c>
    </row>
    <row r="649" spans="1:13" x14ac:dyDescent="0.25">
      <c r="A649" s="50">
        <v>45665</v>
      </c>
      <c r="B649" t="s">
        <v>54</v>
      </c>
      <c r="C649" s="6">
        <v>1</v>
      </c>
      <c r="D649" s="43" t="s">
        <v>49</v>
      </c>
      <c r="E649" t="s">
        <v>599</v>
      </c>
      <c r="G649" t="s">
        <v>177</v>
      </c>
      <c r="H649" s="35" t="str">
        <f>VLOOKUP(Tableau65[[#This Row],[Utilisateur]],Tableau3[[Prenoms (ID)]:[Localisation]],2,FALSE)</f>
        <v>FEDIS</v>
      </c>
      <c r="I649" s="35" t="str">
        <f>VLOOKUP(Tableau65[[#This Row],[Utilisateur]],Tableau3[[Prenoms (ID)]:[Localisation]],3,FALSE)</f>
        <v>MADAFIT</v>
      </c>
      <c r="J649" s="35">
        <f>VLOOKUP(Tableau65[[#This Row],[Utilisateur]],Tableau3[[Prenoms (ID)]:[CABINET]],4,FALSE)</f>
        <v>0</v>
      </c>
    </row>
    <row r="650" spans="1:13" x14ac:dyDescent="0.25">
      <c r="A650" s="2">
        <v>45667</v>
      </c>
      <c r="B650" t="s">
        <v>52</v>
      </c>
      <c r="C650" s="57">
        <v>1</v>
      </c>
      <c r="D650" t="s">
        <v>49</v>
      </c>
      <c r="G650" t="s">
        <v>557</v>
      </c>
      <c r="H650" t="str">
        <f>VLOOKUP(Tableau65[[#This Row],[Utilisateur]],Tableau3[[Prenoms (ID)]:[Localisation]],2,FALSE)</f>
        <v>-</v>
      </c>
      <c r="I650" t="str">
        <f>VLOOKUP(Tableau65[[#This Row],[Utilisateur]],Tableau3[[Prenoms (ID)]:[Localisation]],3,FALSE)</f>
        <v>BIRA</v>
      </c>
      <c r="J650" t="str">
        <f>VLOOKUP(Tableau65[[#This Row],[Utilisateur]],Tableau3[[Prenoms (ID)]:[CABINET]],4,FALSE)</f>
        <v>CPA</v>
      </c>
      <c r="M650" t="s">
        <v>607</v>
      </c>
    </row>
    <row r="651" spans="1:13" x14ac:dyDescent="0.25">
      <c r="A651" s="2">
        <v>45667</v>
      </c>
      <c r="B651" t="s">
        <v>52</v>
      </c>
      <c r="C651" s="57">
        <v>1</v>
      </c>
      <c r="D651" t="s">
        <v>49</v>
      </c>
      <c r="G651" t="s">
        <v>608</v>
      </c>
      <c r="H651" t="str">
        <f>VLOOKUP(Tableau65[[#This Row],[Utilisateur]],Tableau3[[Prenoms (ID)]:[Localisation]],2,FALSE)</f>
        <v>Eccentive</v>
      </c>
      <c r="I651" t="str">
        <f>VLOOKUP(Tableau65[[#This Row],[Utilisateur]],Tableau3[[Prenoms (ID)]:[Localisation]],3,FALSE)</f>
        <v>ECCENTIVE</v>
      </c>
      <c r="J651">
        <f>VLOOKUP(Tableau65[[#This Row],[Utilisateur]],Tableau3[[Prenoms (ID)]:[CABINET]],4,FALSE)</f>
        <v>0</v>
      </c>
    </row>
    <row r="652" spans="1:13" x14ac:dyDescent="0.25">
      <c r="A652" s="2">
        <v>45667</v>
      </c>
      <c r="B652" t="s">
        <v>52</v>
      </c>
      <c r="C652" s="57">
        <v>1</v>
      </c>
      <c r="D652" t="s">
        <v>49</v>
      </c>
      <c r="G652" t="s">
        <v>609</v>
      </c>
      <c r="H652" s="35" t="str">
        <f>VLOOKUP(Tableau65[[#This Row],[Utilisateur]],Tableau3[[Prenoms (ID)]:[Localisation]],2,FALSE)</f>
        <v>Apprenti</v>
      </c>
      <c r="I652" s="35" t="str">
        <f>VLOOKUP(Tableau65[[#This Row],[Utilisateur]],Tableau3[[Prenoms (ID)]:[Localisation]],3,FALSE)</f>
        <v>BIRA</v>
      </c>
      <c r="J652" s="35" t="str">
        <f>VLOOKUP(Tableau65[[#This Row],[Utilisateur]],Tableau3[[Prenoms (ID)]:[CABINET]],4,FALSE)</f>
        <v>CPA</v>
      </c>
    </row>
    <row r="653" spans="1:13" x14ac:dyDescent="0.25">
      <c r="A653" s="2">
        <v>45671</v>
      </c>
      <c r="B653" t="s">
        <v>58</v>
      </c>
      <c r="C653" s="6">
        <v>1</v>
      </c>
      <c r="D653" t="s">
        <v>49</v>
      </c>
      <c r="E653" t="s">
        <v>610</v>
      </c>
      <c r="H653" s="35" t="e">
        <f>VLOOKUP(Tableau65[[#This Row],[Utilisateur]],Tableau3[[Prenoms (ID)]:[Localisation]],2,FALSE)</f>
        <v>#N/A</v>
      </c>
      <c r="I653" s="35" t="e">
        <f>VLOOKUP(Tableau65[[#This Row],[Utilisateur]],Tableau3[[Prenoms (ID)]:[Localisation]],3,FALSE)</f>
        <v>#N/A</v>
      </c>
      <c r="J653" s="35" t="e">
        <f>VLOOKUP(Tableau65[[#This Row],[Utilisateur]],Tableau3[[Prenoms (ID)]:[CABINET]],4,FALSE)</f>
        <v>#N/A</v>
      </c>
    </row>
    <row r="654" spans="1:13" x14ac:dyDescent="0.25">
      <c r="A654" s="2">
        <v>45671</v>
      </c>
      <c r="B654" t="s">
        <v>25</v>
      </c>
      <c r="C654" s="6">
        <v>1</v>
      </c>
      <c r="D654" t="s">
        <v>49</v>
      </c>
      <c r="G654" t="s">
        <v>611</v>
      </c>
      <c r="H654" s="35" t="str">
        <f>VLOOKUP(Tableau65[[#This Row],[Utilisateur]],Tableau3[[Prenoms (ID)]:[Localisation]],2,FALSE)</f>
        <v>Apprenti</v>
      </c>
      <c r="I654" s="35" t="str">
        <f>VLOOKUP(Tableau65[[#This Row],[Utilisateur]],Tableau3[[Prenoms (ID)]:[Localisation]],3,FALSE)</f>
        <v>BIRA</v>
      </c>
      <c r="J654" s="35" t="str">
        <f>VLOOKUP(Tableau65[[#This Row],[Utilisateur]],Tableau3[[Prenoms (ID)]:[CABINET]],4,FALSE)</f>
        <v>CPA</v>
      </c>
    </row>
    <row r="655" spans="1:13" x14ac:dyDescent="0.25">
      <c r="A655" s="2">
        <v>45672</v>
      </c>
      <c r="B655" t="s">
        <v>52</v>
      </c>
      <c r="C655" s="57">
        <v>1</v>
      </c>
      <c r="D655" t="s">
        <v>49</v>
      </c>
      <c r="G655" t="s">
        <v>612</v>
      </c>
      <c r="H655" t="str">
        <f>VLOOKUP(Tableau65[[#This Row],[Utilisateur]],Tableau3[[Prenoms (ID)]:[Localisation]],2,FALSE)</f>
        <v>Eccentive</v>
      </c>
      <c r="I655" t="str">
        <f>VLOOKUP(Tableau65[[#This Row],[Utilisateur]],Tableau3[[Prenoms (ID)]:[Localisation]],3,FALSE)</f>
        <v>ECCENTIVE</v>
      </c>
      <c r="J655">
        <f>VLOOKUP(Tableau65[[#This Row],[Utilisateur]],Tableau3[[Prenoms (ID)]:[CABINET]],4,FALSE)</f>
        <v>0</v>
      </c>
    </row>
    <row r="656" spans="1:13" x14ac:dyDescent="0.25">
      <c r="A656" s="2">
        <v>45673</v>
      </c>
      <c r="B656" t="s">
        <v>25</v>
      </c>
      <c r="C656" s="6">
        <v>1</v>
      </c>
      <c r="D656" t="s">
        <v>49</v>
      </c>
      <c r="G656" t="s">
        <v>502</v>
      </c>
      <c r="H656" t="str">
        <f>VLOOKUP(Tableau65[[#This Row],[Utilisateur]],Tableau3[[Prenoms (ID)]:[Localisation]],2,FALSE)</f>
        <v>Apprenti</v>
      </c>
      <c r="I656" t="str">
        <f>VLOOKUP(Tableau65[[#This Row],[Utilisateur]],Tableau3[[Prenoms (ID)]:[Localisation]],3,FALSE)</f>
        <v>BIRA</v>
      </c>
      <c r="J656">
        <f>VLOOKUP(Tableau65[[#This Row],[Utilisateur]],Tableau3[[Prenoms (ID)]:[CABINET]],4,FALSE)</f>
        <v>0</v>
      </c>
      <c r="M656" t="s">
        <v>613</v>
      </c>
    </row>
    <row r="657" spans="1:10" x14ac:dyDescent="0.25">
      <c r="A657" s="2">
        <v>45673</v>
      </c>
      <c r="B657" t="s">
        <v>52</v>
      </c>
      <c r="C657" s="57">
        <v>1</v>
      </c>
      <c r="D657" t="s">
        <v>49</v>
      </c>
      <c r="G657" t="s">
        <v>467</v>
      </c>
      <c r="H657" t="str">
        <f>VLOOKUP(Tableau65[[#This Row],[Utilisateur]],Tableau3[[Prenoms (ID)]:[Localisation]],2,FALSE)</f>
        <v>Optique / Sata</v>
      </c>
      <c r="I657" t="str">
        <f>VLOOKUP(Tableau65[[#This Row],[Utilisateur]],Tableau3[[Prenoms (ID)]:[Localisation]],3,FALSE)</f>
        <v>BNI1</v>
      </c>
      <c r="J657">
        <f>VLOOKUP(Tableau65[[#This Row],[Utilisateur]],Tableau3[[Prenoms (ID)]:[CABINET]],4,FALSE)</f>
        <v>0</v>
      </c>
    </row>
    <row r="658" spans="1:10" x14ac:dyDescent="0.25">
      <c r="A658" s="2">
        <v>45674</v>
      </c>
      <c r="B658" t="s">
        <v>52</v>
      </c>
      <c r="C658" s="57">
        <v>1</v>
      </c>
      <c r="D658" t="s">
        <v>49</v>
      </c>
      <c r="G658" t="s">
        <v>493</v>
      </c>
      <c r="H658" t="str">
        <f>VLOOKUP(Tableau65[[#This Row],[Utilisateur]],Tableau3[[Prenoms (ID)]:[Localisation]],2,FALSE)</f>
        <v>Audit CPA</v>
      </c>
      <c r="I658" t="str">
        <f>VLOOKUP(Tableau65[[#This Row],[Utilisateur]],Tableau3[[Prenoms (ID)]:[Localisation]],3,FALSE)</f>
        <v>AUDIT-CPA</v>
      </c>
      <c r="J658" t="str">
        <f>VLOOKUP(Tableau65[[#This Row],[Utilisateur]],Tableau3[[Prenoms (ID)]:[CABINET]],4,FALSE)</f>
        <v>CPA</v>
      </c>
    </row>
    <row r="659" spans="1:10" x14ac:dyDescent="0.25">
      <c r="A659" s="2">
        <v>45674</v>
      </c>
      <c r="B659" t="s">
        <v>244</v>
      </c>
      <c r="C659" s="6">
        <v>1</v>
      </c>
      <c r="G659" t="s">
        <v>245</v>
      </c>
      <c r="H659">
        <f>VLOOKUP(Tableau65[[#This Row],[Utilisateur]],Tableau3[[Prenoms (ID)]:[Localisation]],2,FALSE)</f>
        <v>0</v>
      </c>
      <c r="I659" t="str">
        <f>VLOOKUP(Tableau65[[#This Row],[Utilisateur]],Tableau3[[Prenoms (ID)]:[Localisation]],3,FALSE)</f>
        <v>Matura</v>
      </c>
      <c r="J659">
        <f>VLOOKUP(Tableau65[[#This Row],[Utilisateur]],Tableau3[[Prenoms (ID)]:[CABINET]],4,FALSE)</f>
        <v>0</v>
      </c>
    </row>
    <row r="660" spans="1:10" x14ac:dyDescent="0.25">
      <c r="A660" s="2">
        <v>45677</v>
      </c>
      <c r="B660" t="s">
        <v>139</v>
      </c>
      <c r="C660" s="6">
        <v>1</v>
      </c>
      <c r="D660" t="s">
        <v>49</v>
      </c>
      <c r="G660" t="s">
        <v>457</v>
      </c>
      <c r="H660" t="str">
        <f>VLOOKUP(Tableau65[[#This Row],[Utilisateur]],Tableau3[[Prenoms (ID)]:[Localisation]],2,FALSE)</f>
        <v>Audit CPA</v>
      </c>
      <c r="I660" t="str">
        <f>VLOOKUP(Tableau65[[#This Row],[Utilisateur]],Tableau3[[Prenoms (ID)]:[Localisation]],3,FALSE)</f>
        <v>AUDIT-CPA</v>
      </c>
      <c r="J660" t="str">
        <f>VLOOKUP(Tableau65[[#This Row],[Utilisateur]],Tableau3[[Prenoms (ID)]:[CABINET]],4,FALSE)</f>
        <v>CPA</v>
      </c>
    </row>
    <row r="661" spans="1:10" x14ac:dyDescent="0.25">
      <c r="A661" s="2">
        <v>45678</v>
      </c>
      <c r="B661" t="s">
        <v>84</v>
      </c>
      <c r="C661" s="6">
        <v>1</v>
      </c>
      <c r="D661" t="s">
        <v>49</v>
      </c>
      <c r="G661" t="s">
        <v>527</v>
      </c>
      <c r="H661" t="str">
        <f>VLOOKUP(Tableau65[[#This Row],[Utilisateur]],Tableau3[[Prenoms (ID)]:[Localisation]],2,FALSE)</f>
        <v>Accefi</v>
      </c>
      <c r="I661" t="str">
        <f>VLOOKUP(Tableau65[[#This Row],[Utilisateur]],Tableau3[[Prenoms (ID)]:[Localisation]],3,FALSE)</f>
        <v>ACCEFI</v>
      </c>
      <c r="J661" t="str">
        <f>VLOOKUP(Tableau65[[#This Row],[Utilisateur]],Tableau3[[Prenoms (ID)]:[CABINET]],4,FALSE)</f>
        <v>CPA</v>
      </c>
    </row>
    <row r="662" spans="1:10" x14ac:dyDescent="0.25">
      <c r="A662" s="2">
        <v>45678</v>
      </c>
      <c r="B662" t="s">
        <v>60</v>
      </c>
      <c r="C662" s="6">
        <v>1</v>
      </c>
      <c r="D662" t="s">
        <v>49</v>
      </c>
      <c r="G662" t="s">
        <v>407</v>
      </c>
      <c r="H662" s="35" t="str">
        <f>VLOOKUP(Tableau65[[#This Row],[Utilisateur]],Tableau3[[Prenoms (ID)]:[Localisation]],2,FALSE)</f>
        <v>QUALITE</v>
      </c>
      <c r="I662" s="35" t="str">
        <f>VLOOKUP(Tableau65[[#This Row],[Utilisateur]],Tableau3[[Prenoms (ID)]:[Localisation]],3,FALSE)</f>
        <v>CENTRE</v>
      </c>
      <c r="J662" s="35">
        <f>VLOOKUP(Tableau65[[#This Row],[Utilisateur]],Tableau3[[Prenoms (ID)]:[CABINET]],4,FALSE)</f>
        <v>0</v>
      </c>
    </row>
    <row r="663" spans="1:10" x14ac:dyDescent="0.25">
      <c r="A663" s="2">
        <v>45681</v>
      </c>
      <c r="B663" t="s">
        <v>52</v>
      </c>
      <c r="C663" s="57">
        <v>1</v>
      </c>
      <c r="D663" t="s">
        <v>49</v>
      </c>
      <c r="G663" t="s">
        <v>339</v>
      </c>
      <c r="H663" t="str">
        <f>VLOOKUP(Tableau65[[#This Row],[Utilisateur]],Tableau3[[Prenoms (ID)]:[Localisation]],2,FALSE)</f>
        <v>Accefi</v>
      </c>
      <c r="I663" t="str">
        <f>VLOOKUP(Tableau65[[#This Row],[Utilisateur]],Tableau3[[Prenoms (ID)]:[Localisation]],3,FALSE)</f>
        <v>ACCEFI</v>
      </c>
      <c r="J663" t="str">
        <f>VLOOKUP(Tableau65[[#This Row],[Utilisateur]],Tableau3[[Prenoms (ID)]:[CABINET]],4,FALSE)</f>
        <v>CPA</v>
      </c>
    </row>
    <row r="664" spans="1:10" x14ac:dyDescent="0.25">
      <c r="A664" s="2">
        <v>45681</v>
      </c>
      <c r="B664" t="s">
        <v>52</v>
      </c>
      <c r="C664" s="57">
        <v>1</v>
      </c>
      <c r="D664" t="s">
        <v>49</v>
      </c>
      <c r="G664" t="s">
        <v>547</v>
      </c>
      <c r="H664" t="str">
        <f>VLOOKUP(Tableau65[[#This Row],[Utilisateur]],Tableau3[[Prenoms (ID)]:[Localisation]],2,FALSE)</f>
        <v>Accefi</v>
      </c>
      <c r="I664" t="str">
        <f>VLOOKUP(Tableau65[[#This Row],[Utilisateur]],Tableau3[[Prenoms (ID)]:[Localisation]],3,FALSE)</f>
        <v>ACCEFI</v>
      </c>
      <c r="J664">
        <f>VLOOKUP(Tableau65[[#This Row],[Utilisateur]],Tableau3[[Prenoms (ID)]:[CABINET]],4,FALSE)</f>
        <v>0</v>
      </c>
    </row>
    <row r="665" spans="1:10" x14ac:dyDescent="0.25">
      <c r="A665" s="2">
        <v>45485</v>
      </c>
      <c r="B665" t="s">
        <v>82</v>
      </c>
      <c r="C665" s="6">
        <v>1</v>
      </c>
      <c r="D665" t="s">
        <v>49</v>
      </c>
      <c r="G665" s="62" t="s">
        <v>592</v>
      </c>
      <c r="H665" t="str">
        <f>VLOOKUP(Tableau65[[#This Row],[Utilisateur]],Tableau3[[Prenoms (ID)]:[Localisation]],2,FALSE)</f>
        <v>Optique / Mirado</v>
      </c>
      <c r="I665" t="str">
        <f>VLOOKUP(Tableau65[[#This Row],[Utilisateur]],Tableau3[[Prenoms (ID)]:[Localisation]],3,FALSE)</f>
        <v>BNI1</v>
      </c>
      <c r="J665">
        <f>VLOOKUP(Tableau65[[#This Row],[Utilisateur]],Tableau3[[Prenoms (ID)]:[CABINET]],4,FALSE)</f>
        <v>0</v>
      </c>
    </row>
    <row r="666" spans="1:10" x14ac:dyDescent="0.25">
      <c r="A666" s="2">
        <v>45681</v>
      </c>
      <c r="B666" t="s">
        <v>52</v>
      </c>
      <c r="C666" s="57">
        <v>1</v>
      </c>
      <c r="D666" t="s">
        <v>49</v>
      </c>
      <c r="G666" t="s">
        <v>544</v>
      </c>
      <c r="H666" t="str">
        <f>VLOOKUP(Tableau65[[#This Row],[Utilisateur]],Tableau3[[Prenoms (ID)]:[Localisation]],2,FALSE)</f>
        <v>Exaulia</v>
      </c>
      <c r="I666" t="str">
        <f>VLOOKUP(Tableau65[[#This Row],[Utilisateur]],Tableau3[[Prenoms (ID)]:[Localisation]],3,FALSE)</f>
        <v>BNI1</v>
      </c>
      <c r="J666">
        <f>VLOOKUP(Tableau65[[#This Row],[Utilisateur]],Tableau3[[Prenoms (ID)]:[CABINET]],4,FALSE)</f>
        <v>0</v>
      </c>
    </row>
    <row r="667" spans="1:10" x14ac:dyDescent="0.25">
      <c r="A667" s="2">
        <v>45681</v>
      </c>
      <c r="B667" t="s">
        <v>52</v>
      </c>
      <c r="C667" s="57">
        <v>1</v>
      </c>
      <c r="D667" t="s">
        <v>49</v>
      </c>
      <c r="G667" t="s">
        <v>485</v>
      </c>
      <c r="H667" t="str">
        <f>VLOOKUP(Tableau65[[#This Row],[Utilisateur]],Tableau3[[Prenoms (ID)]:[Localisation]],2,FALSE)</f>
        <v>Audit CPA</v>
      </c>
      <c r="I667" t="str">
        <f>VLOOKUP(Tableau65[[#This Row],[Utilisateur]],Tableau3[[Prenoms (ID)]:[Localisation]],3,FALSE)</f>
        <v>AUDIT-CPA</v>
      </c>
      <c r="J667" t="str">
        <f>VLOOKUP(Tableau65[[#This Row],[Utilisateur]],Tableau3[[Prenoms (ID)]:[CABINET]],4,FALSE)</f>
        <v>CPA</v>
      </c>
    </row>
    <row r="668" spans="1:10" x14ac:dyDescent="0.25">
      <c r="A668" s="2">
        <v>45681</v>
      </c>
      <c r="B668" t="s">
        <v>52</v>
      </c>
      <c r="C668" s="57">
        <v>1</v>
      </c>
      <c r="D668" t="s">
        <v>49</v>
      </c>
      <c r="G668" t="s">
        <v>614</v>
      </c>
      <c r="H668" t="str">
        <f>VLOOKUP(Tableau65[[#This Row],[Utilisateur]],Tableau3[[Prenoms (ID)]:[Localisation]],2,FALSE)</f>
        <v>Accefi</v>
      </c>
      <c r="I668" t="str">
        <f>VLOOKUP(Tableau65[[#This Row],[Utilisateur]],Tableau3[[Prenoms (ID)]:[Localisation]],3,FALSE)</f>
        <v>ACCEFI</v>
      </c>
      <c r="J668" t="str">
        <f>VLOOKUP(Tableau65[[#This Row],[Utilisateur]],Tableau3[[Prenoms (ID)]:[CABINET]],4,FALSE)</f>
        <v>CPA</v>
      </c>
    </row>
    <row r="669" spans="1:10" x14ac:dyDescent="0.25">
      <c r="A669" s="2">
        <v>45681</v>
      </c>
      <c r="B669" t="s">
        <v>52</v>
      </c>
      <c r="C669" s="57">
        <v>1</v>
      </c>
      <c r="D669" t="s">
        <v>49</v>
      </c>
      <c r="G669" t="s">
        <v>615</v>
      </c>
      <c r="H669" t="str">
        <f>VLOOKUP(Tableau65[[#This Row],[Utilisateur]],Tableau3[[Prenoms (ID)]:[Localisation]],2,FALSE)</f>
        <v>COMPTASTAR</v>
      </c>
      <c r="I669" t="str">
        <f>VLOOKUP(Tableau65[[#This Row],[Utilisateur]],Tableau3[[Prenoms (ID)]:[Localisation]],3,FALSE)</f>
        <v>COMPTASTAR</v>
      </c>
      <c r="J669" t="str">
        <f>VLOOKUP(Tableau65[[#This Row],[Utilisateur]],Tableau3[[Prenoms (ID)]:[CABINET]],4,FALSE)</f>
        <v>CPA</v>
      </c>
    </row>
    <row r="670" spans="1:10" x14ac:dyDescent="0.25">
      <c r="A670" s="2">
        <v>45684</v>
      </c>
      <c r="B670" t="s">
        <v>52</v>
      </c>
      <c r="C670" s="57">
        <v>1</v>
      </c>
      <c r="D670" t="s">
        <v>49</v>
      </c>
      <c r="G670" t="s">
        <v>346</v>
      </c>
      <c r="H670" t="str">
        <f>VLOOKUP(Tableau65[[#This Row],[Utilisateur]],Tableau3[[Prenoms (ID)]:[Localisation]],2,FALSE)</f>
        <v>Optique / Sata</v>
      </c>
      <c r="I670" t="str">
        <f>VLOOKUP(Tableau65[[#This Row],[Utilisateur]],Tableau3[[Prenoms (ID)]:[Localisation]],3,FALSE)</f>
        <v>BNI1</v>
      </c>
      <c r="J670">
        <f>VLOOKUP(Tableau65[[#This Row],[Utilisateur]],Tableau3[[Prenoms (ID)]:[CABINET]],4,FALSE)</f>
        <v>0</v>
      </c>
    </row>
    <row r="671" spans="1:10" x14ac:dyDescent="0.25">
      <c r="A671" s="2">
        <v>45684</v>
      </c>
      <c r="B671" t="s">
        <v>52</v>
      </c>
      <c r="C671" s="57">
        <v>1</v>
      </c>
      <c r="D671" t="s">
        <v>49</v>
      </c>
      <c r="G671" t="s">
        <v>616</v>
      </c>
      <c r="H671" t="str">
        <f>VLOOKUP(Tableau65[[#This Row],[Utilisateur]],Tableau3[[Prenoms (ID)]:[Localisation]],2,FALSE)</f>
        <v>Info</v>
      </c>
      <c r="I671" t="str">
        <f>VLOOKUP(Tableau65[[#This Row],[Utilisateur]],Tableau3[[Prenoms (ID)]:[Localisation]],3,FALSE)</f>
        <v>Informatique</v>
      </c>
      <c r="J671">
        <f>VLOOKUP(Tableau65[[#This Row],[Utilisateur]],Tableau3[[Prenoms (ID)]:[CABINET]],4,FALSE)</f>
        <v>0</v>
      </c>
    </row>
    <row r="672" spans="1:10" x14ac:dyDescent="0.25">
      <c r="A672" s="2">
        <v>45684</v>
      </c>
      <c r="B672" t="s">
        <v>18</v>
      </c>
      <c r="C672" s="6">
        <v>300</v>
      </c>
      <c r="G672" t="s">
        <v>245</v>
      </c>
      <c r="H672">
        <f>VLOOKUP(Tableau65[[#This Row],[Utilisateur]],Tableau3[[Prenoms (ID)]:[Localisation]],2,FALSE)</f>
        <v>0</v>
      </c>
      <c r="I672" t="str">
        <f>VLOOKUP(Tableau65[[#This Row],[Utilisateur]],Tableau3[[Prenoms (ID)]:[Localisation]],3,FALSE)</f>
        <v>Matura</v>
      </c>
      <c r="J672">
        <f>VLOOKUP(Tableau65[[#This Row],[Utilisateur]],Tableau3[[Prenoms (ID)]:[CABINET]],4,FALSE)</f>
        <v>0</v>
      </c>
    </row>
    <row r="673" spans="1:13" x14ac:dyDescent="0.25">
      <c r="A673" s="2">
        <v>45684</v>
      </c>
      <c r="B673" t="s">
        <v>52</v>
      </c>
      <c r="C673" s="57">
        <v>1</v>
      </c>
      <c r="D673" t="s">
        <v>49</v>
      </c>
      <c r="G673" t="s">
        <v>468</v>
      </c>
      <c r="H673" t="str">
        <f>VLOOKUP(Tableau65[[#This Row],[Utilisateur]],Tableau3[[Prenoms (ID)]:[Localisation]],2,FALSE)</f>
        <v>Paie</v>
      </c>
      <c r="I673" t="str">
        <f>VLOOKUP(Tableau65[[#This Row],[Utilisateur]],Tableau3[[Prenoms (ID)]:[Localisation]],3,FALSE)</f>
        <v>BNI1</v>
      </c>
      <c r="J673">
        <f>VLOOKUP(Tableau65[[#This Row],[Utilisateur]],Tableau3[[Prenoms (ID)]:[CABINET]],4,FALSE)</f>
        <v>0</v>
      </c>
    </row>
    <row r="674" spans="1:13" x14ac:dyDescent="0.25">
      <c r="A674" s="2">
        <v>45684</v>
      </c>
      <c r="B674" t="s">
        <v>52</v>
      </c>
      <c r="C674" s="57">
        <v>1</v>
      </c>
      <c r="D674" t="s">
        <v>49</v>
      </c>
      <c r="G674" t="s">
        <v>320</v>
      </c>
      <c r="H674" t="str">
        <f>VLOOKUP(Tableau65[[#This Row],[Utilisateur]],Tableau3[[Prenoms (ID)]:[Localisation]],2,FALSE)</f>
        <v>RECCI</v>
      </c>
      <c r="I674" t="str">
        <f>VLOOKUP(Tableau65[[#This Row],[Utilisateur]],Tableau3[[Prenoms (ID)]:[Localisation]],3,FALSE)</f>
        <v>LMNP</v>
      </c>
      <c r="J674">
        <f>VLOOKUP(Tableau65[[#This Row],[Utilisateur]],Tableau3[[Prenoms (ID)]:[CABINET]],4,FALSE)</f>
        <v>0</v>
      </c>
    </row>
    <row r="675" spans="1:13" x14ac:dyDescent="0.25">
      <c r="A675" s="2">
        <v>45691</v>
      </c>
      <c r="B675" t="s">
        <v>54</v>
      </c>
      <c r="C675" s="6">
        <v>1</v>
      </c>
      <c r="D675" t="s">
        <v>49</v>
      </c>
      <c r="G675" t="s">
        <v>500</v>
      </c>
      <c r="H675" t="str">
        <f>VLOOKUP(Tableau65[[#This Row],[Utilisateur]],Tableau3[[Prenoms (ID)]:[Localisation]],2,FALSE)</f>
        <v>COMPTASTAR</v>
      </c>
      <c r="I675" t="str">
        <f>VLOOKUP(Tableau65[[#This Row],[Utilisateur]],Tableau3[[Prenoms (ID)]:[Localisation]],3,FALSE)</f>
        <v>COMPTASTAR</v>
      </c>
      <c r="J675" t="str">
        <f>VLOOKUP(Tableau65[[#This Row],[Utilisateur]],Tableau3[[Prenoms (ID)]:[CABINET]],4,FALSE)</f>
        <v>CPA</v>
      </c>
    </row>
    <row r="676" spans="1:13" x14ac:dyDescent="0.25">
      <c r="A676" s="2">
        <v>45691</v>
      </c>
      <c r="B676" t="s">
        <v>52</v>
      </c>
      <c r="C676" s="57">
        <v>1</v>
      </c>
      <c r="D676" t="s">
        <v>49</v>
      </c>
      <c r="G676" t="s">
        <v>324</v>
      </c>
      <c r="H676" t="str">
        <f>VLOOKUP(Tableau65[[#This Row],[Utilisateur]],Tableau3[[Prenoms (ID)]:[Localisation]],2,FALSE)</f>
        <v>Optique / Mirado</v>
      </c>
      <c r="I676" t="str">
        <f>VLOOKUP(Tableau65[[#This Row],[Utilisateur]],Tableau3[[Prenoms (ID)]:[Localisation]],3,FALSE)</f>
        <v>BNI1</v>
      </c>
      <c r="J676">
        <f>VLOOKUP(Tableau65[[#This Row],[Utilisateur]],Tableau3[[Prenoms (ID)]:[CABINET]],4,FALSE)</f>
        <v>0</v>
      </c>
    </row>
    <row r="677" spans="1:13" s="52" customFormat="1" x14ac:dyDescent="0.25">
      <c r="A677" s="2">
        <v>45691</v>
      </c>
      <c r="B677" t="s">
        <v>64</v>
      </c>
      <c r="C677" s="6">
        <v>1</v>
      </c>
      <c r="D677" t="s">
        <v>49</v>
      </c>
      <c r="E677"/>
      <c r="F677"/>
      <c r="G677" t="s">
        <v>512</v>
      </c>
      <c r="H677" s="35" t="str">
        <f>VLOOKUP(Tableau65[[#This Row],[Utilisateur]],Tableau3[[Prenoms (ID)]:[Localisation]],2,FALSE)</f>
        <v>Audit CPA</v>
      </c>
      <c r="I677" s="35" t="str">
        <f>VLOOKUP(Tableau65[[#This Row],[Utilisateur]],Tableau3[[Prenoms (ID)]:[Localisation]],3,FALSE)</f>
        <v>AUDIT-CPA</v>
      </c>
      <c r="J677" s="35" t="str">
        <f>VLOOKUP(Tableau65[[#This Row],[Utilisateur]],Tableau3[[Prenoms (ID)]:[CABINET]],4,FALSE)</f>
        <v>CPA</v>
      </c>
      <c r="K677"/>
      <c r="L677"/>
      <c r="M677"/>
    </row>
    <row r="678" spans="1:13" x14ac:dyDescent="0.25">
      <c r="A678" s="2">
        <v>45691</v>
      </c>
      <c r="B678" t="s">
        <v>64</v>
      </c>
      <c r="C678" s="6">
        <v>1</v>
      </c>
      <c r="D678" t="s">
        <v>49</v>
      </c>
      <c r="G678" t="s">
        <v>577</v>
      </c>
      <c r="H678" s="35" t="str">
        <f>VLOOKUP(Tableau65[[#This Row],[Utilisateur]],Tableau3[[Prenoms (ID)]:[Localisation]],2,FALSE)</f>
        <v>Audit CPA</v>
      </c>
      <c r="I678" s="35" t="str">
        <f>VLOOKUP(Tableau65[[#This Row],[Utilisateur]],Tableau3[[Prenoms (ID)]:[Localisation]],3,FALSE)</f>
        <v>AUDIT-CPA</v>
      </c>
      <c r="J678" s="35" t="str">
        <f>VLOOKUP(Tableau65[[#This Row],[Utilisateur]],Tableau3[[Prenoms (ID)]:[CABINET]],4,FALSE)</f>
        <v>CPA</v>
      </c>
    </row>
    <row r="679" spans="1:13" x14ac:dyDescent="0.25">
      <c r="A679" s="2">
        <v>45692</v>
      </c>
      <c r="B679" t="s">
        <v>54</v>
      </c>
      <c r="C679" s="6">
        <v>1</v>
      </c>
      <c r="D679" t="s">
        <v>49</v>
      </c>
      <c r="G679" t="s">
        <v>229</v>
      </c>
      <c r="H679" t="str">
        <f>VLOOKUP(Tableau65[[#This Row],[Utilisateur]],Tableau3[[Prenoms (ID)]:[Localisation]],2,FALSE)</f>
        <v>ADMIN</v>
      </c>
      <c r="I679" t="str">
        <f>VLOOKUP(Tableau65[[#This Row],[Utilisateur]],Tableau3[[Prenoms (ID)]:[Localisation]],3,FALSE)</f>
        <v>MATURA</v>
      </c>
      <c r="J679">
        <f>VLOOKUP(Tableau65[[#This Row],[Utilisateur]],Tableau3[[Prenoms (ID)]:[CABINET]],4,FALSE)</f>
        <v>0</v>
      </c>
    </row>
    <row r="680" spans="1:13" x14ac:dyDescent="0.25">
      <c r="A680" s="2">
        <v>45692</v>
      </c>
      <c r="B680" t="s">
        <v>52</v>
      </c>
      <c r="C680" s="57">
        <v>1</v>
      </c>
      <c r="D680" t="s">
        <v>49</v>
      </c>
      <c r="G680" t="s">
        <v>229</v>
      </c>
      <c r="H680" t="str">
        <f>VLOOKUP(Tableau65[[#This Row],[Utilisateur]],Tableau3[[Prenoms (ID)]:[Localisation]],2,FALSE)</f>
        <v>ADMIN</v>
      </c>
      <c r="I680" t="str">
        <f>VLOOKUP(Tableau65[[#This Row],[Utilisateur]],Tableau3[[Prenoms (ID)]:[Localisation]],3,FALSE)</f>
        <v>MATURA</v>
      </c>
      <c r="J680">
        <f>VLOOKUP(Tableau65[[#This Row],[Utilisateur]],Tableau3[[Prenoms (ID)]:[CABINET]],4,FALSE)</f>
        <v>0</v>
      </c>
      <c r="M680" s="31">
        <v>843</v>
      </c>
    </row>
    <row r="681" spans="1:13" x14ac:dyDescent="0.25">
      <c r="A681" s="2">
        <v>45692</v>
      </c>
      <c r="B681" t="s">
        <v>52</v>
      </c>
      <c r="C681" s="57">
        <v>1</v>
      </c>
      <c r="D681" t="s">
        <v>49</v>
      </c>
      <c r="G681" t="s">
        <v>617</v>
      </c>
      <c r="H681" t="str">
        <f>VLOOKUP(Tableau65[[#This Row],[Utilisateur]],Tableau3[[Prenoms (ID)]:[Localisation]],2,FALSE)</f>
        <v>RECCI / Njato Be</v>
      </c>
      <c r="I681" t="str">
        <f>VLOOKUP(Tableau65[[#This Row],[Utilisateur]],Tableau3[[Prenoms (ID)]:[Localisation]],3,FALSE)</f>
        <v>BNI2</v>
      </c>
      <c r="J681">
        <f>VLOOKUP(Tableau65[[#This Row],[Utilisateur]],Tableau3[[Prenoms (ID)]:[CABINET]],4,FALSE)</f>
        <v>0</v>
      </c>
    </row>
    <row r="682" spans="1:13" x14ac:dyDescent="0.25">
      <c r="A682" s="2">
        <v>45694</v>
      </c>
      <c r="B682" t="s">
        <v>139</v>
      </c>
      <c r="C682" s="6">
        <v>1</v>
      </c>
      <c r="D682" t="s">
        <v>49</v>
      </c>
      <c r="G682" t="s">
        <v>512</v>
      </c>
      <c r="H682" t="str">
        <f>VLOOKUP(Tableau65[[#This Row],[Utilisateur]],Tableau3[[Prenoms (ID)]:[Localisation]],2,FALSE)</f>
        <v>Audit CPA</v>
      </c>
      <c r="I682" t="str">
        <f>VLOOKUP(Tableau65[[#This Row],[Utilisateur]],Tableau3[[Prenoms (ID)]:[Localisation]],3,FALSE)</f>
        <v>AUDIT-CPA</v>
      </c>
      <c r="J682" t="str">
        <f>VLOOKUP(Tableau65[[#This Row],[Utilisateur]],Tableau3[[Prenoms (ID)]:[CABINET]],4,FALSE)</f>
        <v>CPA</v>
      </c>
    </row>
    <row r="683" spans="1:13" x14ac:dyDescent="0.25">
      <c r="A683" s="2">
        <v>45695</v>
      </c>
      <c r="B683" t="s">
        <v>248</v>
      </c>
      <c r="C683" s="6">
        <v>1</v>
      </c>
      <c r="E683" t="s">
        <v>250</v>
      </c>
      <c r="H683" t="e">
        <f>VLOOKUP(Tableau65[[#This Row],[Utilisateur]],Tableau3[[Prenoms (ID)]:[Localisation]],2,FALSE)</f>
        <v>#N/A</v>
      </c>
      <c r="I683" t="e">
        <f>VLOOKUP(Tableau65[[#This Row],[Utilisateur]],Tableau3[[Prenoms (ID)]:[Localisation]],3,FALSE)</f>
        <v>#N/A</v>
      </c>
      <c r="J683" t="e">
        <f>VLOOKUP(Tableau65[[#This Row],[Utilisateur]],Tableau3[[Prenoms (ID)]:[CABINET]],4,FALSE)</f>
        <v>#N/A</v>
      </c>
    </row>
    <row r="684" spans="1:13" x14ac:dyDescent="0.25">
      <c r="A684" s="2">
        <v>45695</v>
      </c>
      <c r="B684" t="s">
        <v>244</v>
      </c>
      <c r="C684" s="6">
        <v>1</v>
      </c>
      <c r="E684" t="s">
        <v>618</v>
      </c>
      <c r="H684" t="e">
        <f>VLOOKUP(Tableau65[[#This Row],[Utilisateur]],Tableau3[[Prenoms (ID)]:[Localisation]],2,FALSE)</f>
        <v>#N/A</v>
      </c>
      <c r="I684" t="e">
        <f>VLOOKUP(Tableau65[[#This Row],[Utilisateur]],Tableau3[[Prenoms (ID)]:[Localisation]],3,FALSE)</f>
        <v>#N/A</v>
      </c>
      <c r="J684" t="e">
        <f>VLOOKUP(Tableau65[[#This Row],[Utilisateur]],Tableau3[[Prenoms (ID)]:[CABINET]],4,FALSE)</f>
        <v>#N/A</v>
      </c>
    </row>
    <row r="685" spans="1:13" x14ac:dyDescent="0.25">
      <c r="A685" s="2">
        <v>45695</v>
      </c>
      <c r="B685" t="s">
        <v>253</v>
      </c>
      <c r="C685" s="6">
        <v>100</v>
      </c>
      <c r="H685" t="e">
        <f>VLOOKUP(Tableau65[[#This Row],[Utilisateur]],Tableau3[[Prenoms (ID)]:[Localisation]],2,FALSE)</f>
        <v>#N/A</v>
      </c>
      <c r="I685" t="e">
        <f>VLOOKUP(Tableau65[[#This Row],[Utilisateur]],Tableau3[[Prenoms (ID)]:[Localisation]],3,FALSE)</f>
        <v>#N/A</v>
      </c>
      <c r="J685" t="e">
        <f>VLOOKUP(Tableau65[[#This Row],[Utilisateur]],Tableau3[[Prenoms (ID)]:[CABINET]],4,FALSE)</f>
        <v>#N/A</v>
      </c>
    </row>
    <row r="686" spans="1:13" x14ac:dyDescent="0.25">
      <c r="A686" s="2">
        <v>45695</v>
      </c>
      <c r="B686" t="s">
        <v>65</v>
      </c>
      <c r="C686" s="6">
        <v>1</v>
      </c>
      <c r="G686" t="s">
        <v>245</v>
      </c>
      <c r="H686">
        <f>VLOOKUP(Tableau65[[#This Row],[Utilisateur]],Tableau3[[Prenoms (ID)]:[Localisation]],2,FALSE)</f>
        <v>0</v>
      </c>
      <c r="I686" t="str">
        <f>VLOOKUP(Tableau65[[#This Row],[Utilisateur]],Tableau3[[Prenoms (ID)]:[Localisation]],3,FALSE)</f>
        <v>Matura</v>
      </c>
      <c r="J686">
        <f>VLOOKUP(Tableau65[[#This Row],[Utilisateur]],Tableau3[[Prenoms (ID)]:[CABINET]],4,FALSE)</f>
        <v>0</v>
      </c>
    </row>
    <row r="687" spans="1:13" x14ac:dyDescent="0.25">
      <c r="A687" s="2">
        <v>45695</v>
      </c>
      <c r="B687" t="s">
        <v>246</v>
      </c>
      <c r="C687" s="6">
        <v>1</v>
      </c>
      <c r="G687" t="s">
        <v>437</v>
      </c>
      <c r="H687" t="str">
        <f>VLOOKUP(Tableau65[[#This Row],[Utilisateur]],Tableau3[[Prenoms (ID)]:[Localisation]],2,FALSE)</f>
        <v>NE2C</v>
      </c>
      <c r="I687" t="str">
        <f>VLOOKUP(Tableau65[[#This Row],[Utilisateur]],Tableau3[[Prenoms (ID)]:[Localisation]],3,FALSE)</f>
        <v>ARSAC</v>
      </c>
      <c r="J687">
        <f>VLOOKUP(Tableau65[[#This Row],[Utilisateur]],Tableau3[[Prenoms (ID)]:[CABINET]],4,FALSE)</f>
        <v>0</v>
      </c>
    </row>
    <row r="688" spans="1:13" x14ac:dyDescent="0.25">
      <c r="A688" s="2">
        <v>45695</v>
      </c>
      <c r="B688" t="s">
        <v>248</v>
      </c>
      <c r="C688" s="6">
        <v>2</v>
      </c>
      <c r="G688" t="s">
        <v>245</v>
      </c>
      <c r="H688">
        <f>VLOOKUP(Tableau65[[#This Row],[Utilisateur]],Tableau3[[Prenoms (ID)]:[Localisation]],2,FALSE)</f>
        <v>0</v>
      </c>
      <c r="I688" t="str">
        <f>VLOOKUP(Tableau65[[#This Row],[Utilisateur]],Tableau3[[Prenoms (ID)]:[Localisation]],3,FALSE)</f>
        <v>Matura</v>
      </c>
      <c r="J688">
        <f>VLOOKUP(Tableau65[[#This Row],[Utilisateur]],Tableau3[[Prenoms (ID)]:[CABINET]],4,FALSE)</f>
        <v>0</v>
      </c>
    </row>
    <row r="689" spans="1:13" x14ac:dyDescent="0.25">
      <c r="A689" s="2">
        <v>45695</v>
      </c>
      <c r="B689" t="s">
        <v>28</v>
      </c>
      <c r="C689" s="6">
        <v>12</v>
      </c>
      <c r="E689" t="s">
        <v>619</v>
      </c>
      <c r="H689" t="e">
        <f>VLOOKUP(Tableau65[[#This Row],[Utilisateur]],Tableau3[[Prenoms (ID)]:[Localisation]],2,FALSE)</f>
        <v>#N/A</v>
      </c>
      <c r="I689" t="e">
        <f>VLOOKUP(Tableau65[[#This Row],[Utilisateur]],Tableau3[[Prenoms (ID)]:[Localisation]],3,FALSE)</f>
        <v>#N/A</v>
      </c>
      <c r="J689" t="e">
        <f>VLOOKUP(Tableau65[[#This Row],[Utilisateur]],Tableau3[[Prenoms (ID)]:[CABINET]],4,FALSE)</f>
        <v>#N/A</v>
      </c>
    </row>
    <row r="690" spans="1:13" x14ac:dyDescent="0.25">
      <c r="A690" s="54">
        <v>45695</v>
      </c>
      <c r="B690" s="52" t="s">
        <v>25</v>
      </c>
      <c r="C690" s="55">
        <v>1</v>
      </c>
      <c r="D690" t="s">
        <v>49</v>
      </c>
      <c r="E690" s="52" t="s">
        <v>620</v>
      </c>
      <c r="F690" s="52"/>
      <c r="G690" s="52" t="s">
        <v>611</v>
      </c>
      <c r="H690" s="56" t="str">
        <f>VLOOKUP(Tableau65[[#This Row],[Utilisateur]],Tableau3[[Prenoms (ID)]:[Localisation]],2,FALSE)</f>
        <v>Apprenti</v>
      </c>
      <c r="I690" s="56" t="str">
        <f>VLOOKUP(Tableau65[[#This Row],[Utilisateur]],Tableau3[[Prenoms (ID)]:[Localisation]],3,FALSE)</f>
        <v>BIRA</v>
      </c>
      <c r="J690" s="56" t="str">
        <f>VLOOKUP(Tableau65[[#This Row],[Utilisateur]],Tableau3[[Prenoms (ID)]:[CABINET]],4,FALSE)</f>
        <v>CPA</v>
      </c>
      <c r="K690" s="52"/>
      <c r="L690" s="52"/>
      <c r="M690" s="52"/>
    </row>
    <row r="691" spans="1:13" x14ac:dyDescent="0.25">
      <c r="A691" s="2">
        <v>45695</v>
      </c>
      <c r="B691" t="s">
        <v>52</v>
      </c>
      <c r="C691" s="6">
        <v>1</v>
      </c>
      <c r="D691" t="s">
        <v>49</v>
      </c>
      <c r="G691" t="s">
        <v>283</v>
      </c>
      <c r="H691" s="35" t="str">
        <f>VLOOKUP(Tableau65[[#This Row],[Utilisateur]],Tableau3[[Prenoms (ID)]:[Localisation]],2,FALSE)</f>
        <v>Info</v>
      </c>
      <c r="I691" s="35" t="str">
        <f>VLOOKUP(Tableau65[[#This Row],[Utilisateur]],Tableau3[[Prenoms (ID)]:[Localisation]],3,FALSE)</f>
        <v>BIRA</v>
      </c>
      <c r="J691" s="35" t="str">
        <f>VLOOKUP(Tableau65[[#This Row],[Utilisateur]],Tableau3[[Prenoms (ID)]:[CABINET]],4,FALSE)</f>
        <v>CPA</v>
      </c>
    </row>
    <row r="692" spans="1:13" x14ac:dyDescent="0.25">
      <c r="A692" s="2">
        <v>45698</v>
      </c>
      <c r="B692" t="s">
        <v>54</v>
      </c>
      <c r="C692" s="6">
        <v>1</v>
      </c>
      <c r="D692" t="s">
        <v>49</v>
      </c>
      <c r="E692" t="s">
        <v>621</v>
      </c>
      <c r="G692" t="s">
        <v>220</v>
      </c>
      <c r="H692">
        <f>VLOOKUP(Tableau65[[#This Row],[Utilisateur]],Tableau3[[Prenoms (ID)]:[Localisation]],2,FALSE)</f>
        <v>0</v>
      </c>
      <c r="I692" t="str">
        <f>VLOOKUP(Tableau65[[#This Row],[Utilisateur]],Tableau3[[Prenoms (ID)]:[Localisation]],3,FALSE)</f>
        <v>MADAFIT</v>
      </c>
      <c r="J692">
        <f>VLOOKUP(Tableau65[[#This Row],[Utilisateur]],Tableau3[[Prenoms (ID)]:[CABINET]],4,FALSE)</f>
        <v>0</v>
      </c>
      <c r="M692" t="s">
        <v>621</v>
      </c>
    </row>
    <row r="693" spans="1:13" x14ac:dyDescent="0.25">
      <c r="A693" s="2">
        <v>45698</v>
      </c>
      <c r="B693" t="s">
        <v>25</v>
      </c>
      <c r="C693" s="6">
        <v>1</v>
      </c>
      <c r="D693" t="s">
        <v>49</v>
      </c>
      <c r="E693" t="s">
        <v>621</v>
      </c>
      <c r="G693" t="s">
        <v>220</v>
      </c>
      <c r="H693">
        <f>VLOOKUP(Tableau65[[#This Row],[Utilisateur]],Tableau3[[Prenoms (ID)]:[Localisation]],2,FALSE)</f>
        <v>0</v>
      </c>
      <c r="I693" t="str">
        <f>VLOOKUP(Tableau65[[#This Row],[Utilisateur]],Tableau3[[Prenoms (ID)]:[Localisation]],3,FALSE)</f>
        <v>MADAFIT</v>
      </c>
      <c r="J693">
        <f>VLOOKUP(Tableau65[[#This Row],[Utilisateur]],Tableau3[[Prenoms (ID)]:[CABINET]],4,FALSE)</f>
        <v>0</v>
      </c>
      <c r="M693" t="s">
        <v>621</v>
      </c>
    </row>
    <row r="694" spans="1:13" x14ac:dyDescent="0.25">
      <c r="A694" s="2">
        <v>45698</v>
      </c>
      <c r="B694" t="s">
        <v>52</v>
      </c>
      <c r="C694" s="57">
        <v>1</v>
      </c>
      <c r="D694" t="s">
        <v>49</v>
      </c>
      <c r="E694" t="s">
        <v>621</v>
      </c>
      <c r="G694" t="s">
        <v>220</v>
      </c>
      <c r="H694">
        <f>VLOOKUP(Tableau65[[#This Row],[Utilisateur]],Tableau3[[Prenoms (ID)]:[Localisation]],2,FALSE)</f>
        <v>0</v>
      </c>
      <c r="I694" t="str">
        <f>VLOOKUP(Tableau65[[#This Row],[Utilisateur]],Tableau3[[Prenoms (ID)]:[Localisation]],3,FALSE)</f>
        <v>MADAFIT</v>
      </c>
      <c r="J694">
        <f>VLOOKUP(Tableau65[[#This Row],[Utilisateur]],Tableau3[[Prenoms (ID)]:[CABINET]],4,FALSE)</f>
        <v>0</v>
      </c>
      <c r="M694" t="s">
        <v>621</v>
      </c>
    </row>
    <row r="695" spans="1:13" x14ac:dyDescent="0.25">
      <c r="A695" s="2">
        <v>45698</v>
      </c>
      <c r="B695" t="s">
        <v>52</v>
      </c>
      <c r="C695" s="57">
        <v>1</v>
      </c>
      <c r="D695" t="s">
        <v>49</v>
      </c>
      <c r="E695" t="s">
        <v>69</v>
      </c>
      <c r="H695" t="e">
        <f>VLOOKUP(Tableau65[[#This Row],[Utilisateur]],Tableau3[[Prenoms (ID)]:[Localisation]],2,FALSE)</f>
        <v>#N/A</v>
      </c>
      <c r="I695" t="e">
        <f>VLOOKUP(Tableau65[[#This Row],[Utilisateur]],Tableau3[[Prenoms (ID)]:[Localisation]],3,FALSE)</f>
        <v>#N/A</v>
      </c>
      <c r="J695" t="e">
        <f>VLOOKUP(Tableau65[[#This Row],[Utilisateur]],Tableau3[[Prenoms (ID)]:[CABINET]],4,FALSE)</f>
        <v>#N/A</v>
      </c>
      <c r="M695" t="s">
        <v>69</v>
      </c>
    </row>
    <row r="696" spans="1:13" x14ac:dyDescent="0.25">
      <c r="A696" s="2">
        <v>45698</v>
      </c>
      <c r="B696" t="s">
        <v>52</v>
      </c>
      <c r="C696" s="57">
        <v>1</v>
      </c>
      <c r="D696" t="s">
        <v>49</v>
      </c>
      <c r="E696" t="s">
        <v>622</v>
      </c>
      <c r="H696" t="e">
        <f>VLOOKUP(Tableau65[[#This Row],[Utilisateur]],Tableau3[[Prenoms (ID)]:[Localisation]],2,FALSE)</f>
        <v>#N/A</v>
      </c>
      <c r="I696" t="e">
        <f>VLOOKUP(Tableau65[[#This Row],[Utilisateur]],Tableau3[[Prenoms (ID)]:[Localisation]],3,FALSE)</f>
        <v>#N/A</v>
      </c>
      <c r="J696" t="e">
        <f>VLOOKUP(Tableau65[[#This Row],[Utilisateur]],Tableau3[[Prenoms (ID)]:[CABINET]],4,FALSE)</f>
        <v>#N/A</v>
      </c>
      <c r="M696" t="s">
        <v>622</v>
      </c>
    </row>
    <row r="697" spans="1:13" x14ac:dyDescent="0.25">
      <c r="A697" s="2">
        <v>45698</v>
      </c>
      <c r="B697" t="s">
        <v>52</v>
      </c>
      <c r="C697" s="57">
        <v>1</v>
      </c>
      <c r="D697" t="s">
        <v>49</v>
      </c>
      <c r="E697" t="s">
        <v>622</v>
      </c>
      <c r="H697" t="e">
        <f>VLOOKUP(Tableau65[[#This Row],[Utilisateur]],Tableau3[[Prenoms (ID)]:[Localisation]],2,FALSE)</f>
        <v>#N/A</v>
      </c>
      <c r="I697" t="e">
        <f>VLOOKUP(Tableau65[[#This Row],[Utilisateur]],Tableau3[[Prenoms (ID)]:[Localisation]],3,FALSE)</f>
        <v>#N/A</v>
      </c>
      <c r="J697" t="e">
        <f>VLOOKUP(Tableau65[[#This Row],[Utilisateur]],Tableau3[[Prenoms (ID)]:[CABINET]],4,FALSE)</f>
        <v>#N/A</v>
      </c>
      <c r="M697" t="s">
        <v>622</v>
      </c>
    </row>
    <row r="698" spans="1:13" x14ac:dyDescent="0.25">
      <c r="A698" s="2">
        <v>45700</v>
      </c>
      <c r="B698" t="s">
        <v>58</v>
      </c>
      <c r="C698" s="6">
        <v>1</v>
      </c>
      <c r="D698" t="s">
        <v>49</v>
      </c>
      <c r="E698" t="s">
        <v>623</v>
      </c>
      <c r="G698" t="s">
        <v>245</v>
      </c>
      <c r="H698" s="35">
        <f>VLOOKUP(Tableau65[[#This Row],[Utilisateur]],Tableau3[[Prenoms (ID)]:[Localisation]],2,FALSE)</f>
        <v>0</v>
      </c>
      <c r="I698" s="35" t="str">
        <f>VLOOKUP(Tableau65[[#This Row],[Utilisateur]],Tableau3[[Prenoms (ID)]:[Localisation]],3,FALSE)</f>
        <v>Matura</v>
      </c>
      <c r="J698" s="35">
        <f>VLOOKUP(Tableau65[[#This Row],[Utilisateur]],Tableau3[[Prenoms (ID)]:[CABINET]],4,FALSE)</f>
        <v>0</v>
      </c>
    </row>
    <row r="699" spans="1:13" x14ac:dyDescent="0.25">
      <c r="A699" s="2">
        <v>45701</v>
      </c>
      <c r="B699" t="s">
        <v>52</v>
      </c>
      <c r="C699" s="57">
        <v>1</v>
      </c>
      <c r="D699" t="s">
        <v>49</v>
      </c>
      <c r="G699" t="s">
        <v>375</v>
      </c>
      <c r="H699" t="str">
        <f>VLOOKUP(Tableau65[[#This Row],[Utilisateur]],Tableau3[[Prenoms (ID)]:[Localisation]],2,FALSE)</f>
        <v>Audit CPA</v>
      </c>
      <c r="I699" t="str">
        <f>VLOOKUP(Tableau65[[#This Row],[Utilisateur]],Tableau3[[Prenoms (ID)]:[Localisation]],3,FALSE)</f>
        <v>AUDIT-CPA</v>
      </c>
      <c r="J699" t="str">
        <f>VLOOKUP(Tableau65[[#This Row],[Utilisateur]],Tableau3[[Prenoms (ID)]:[CABINET]],4,FALSE)</f>
        <v>CPA</v>
      </c>
    </row>
    <row r="700" spans="1:13" x14ac:dyDescent="0.25">
      <c r="A700" s="2">
        <v>45701</v>
      </c>
      <c r="B700" t="s">
        <v>52</v>
      </c>
      <c r="C700" s="57">
        <v>1</v>
      </c>
      <c r="D700" t="s">
        <v>49</v>
      </c>
      <c r="G700" t="s">
        <v>374</v>
      </c>
      <c r="H700" t="str">
        <f>VLOOKUP(Tableau65[[#This Row],[Utilisateur]],Tableau3[[Prenoms (ID)]:[Localisation]],2,FALSE)</f>
        <v>Audit CPA</v>
      </c>
      <c r="I700" t="str">
        <f>VLOOKUP(Tableau65[[#This Row],[Utilisateur]],Tableau3[[Prenoms (ID)]:[Localisation]],3,FALSE)</f>
        <v>AUDIT-CPA</v>
      </c>
      <c r="J700" t="str">
        <f>VLOOKUP(Tableau65[[#This Row],[Utilisateur]],Tableau3[[Prenoms (ID)]:[CABINET]],4,FALSE)</f>
        <v>CPA</v>
      </c>
    </row>
    <row r="701" spans="1:13" x14ac:dyDescent="0.25">
      <c r="A701" s="2">
        <v>45701</v>
      </c>
      <c r="B701" t="s">
        <v>84</v>
      </c>
      <c r="C701" s="6">
        <v>1</v>
      </c>
      <c r="D701" t="s">
        <v>49</v>
      </c>
      <c r="G701" t="s">
        <v>227</v>
      </c>
      <c r="H701" t="str">
        <f>VLOOKUP(Tableau65[[#This Row],[Utilisateur]],Tableau3[[Prenoms (ID)]:[Localisation]],2,FALSE)</f>
        <v>Info/Data</v>
      </c>
      <c r="I701" t="str">
        <f>VLOOKUP(Tableau65[[#This Row],[Utilisateur]],Tableau3[[Prenoms (ID)]:[Localisation]],3,FALSE)</f>
        <v>Informatique</v>
      </c>
      <c r="J701">
        <f>VLOOKUP(Tableau65[[#This Row],[Utilisateur]],Tableau3[[Prenoms (ID)]:[CABINET]],4,FALSE)</f>
        <v>0</v>
      </c>
    </row>
    <row r="702" spans="1:13" x14ac:dyDescent="0.25">
      <c r="A702" s="2">
        <v>45702</v>
      </c>
      <c r="B702" t="s">
        <v>84</v>
      </c>
      <c r="C702" s="6">
        <v>1</v>
      </c>
      <c r="D702" t="s">
        <v>49</v>
      </c>
      <c r="G702" t="s">
        <v>145</v>
      </c>
      <c r="H702" s="35" t="str">
        <f>VLOOKUP(Tableau65[[#This Row],[Utilisateur]],Tableau3[[Prenoms (ID)]:[Localisation]],2,FALSE)</f>
        <v>ASSOCIATION CPA</v>
      </c>
      <c r="I702" s="35" t="str">
        <f>VLOOKUP(Tableau65[[#This Row],[Utilisateur]],Tableau3[[Prenoms (ID)]:[Localisation]],3,FALSE)</f>
        <v>CENTRE</v>
      </c>
      <c r="J702" s="35">
        <f>VLOOKUP(Tableau65[[#This Row],[Utilisateur]],Tableau3[[Prenoms (ID)]:[CABINET]],4,FALSE)</f>
        <v>0</v>
      </c>
    </row>
    <row r="703" spans="1:13" x14ac:dyDescent="0.25">
      <c r="A703" s="2">
        <v>45705</v>
      </c>
      <c r="B703" t="s">
        <v>34</v>
      </c>
      <c r="C703" s="6">
        <v>1</v>
      </c>
      <c r="G703" t="s">
        <v>68</v>
      </c>
      <c r="H703" t="str">
        <f>VLOOKUP(Tableau65[[#This Row],[Utilisateur]],Tableau3[[Prenoms (ID)]:[Localisation]],2,FALSE)</f>
        <v>Administration</v>
      </c>
      <c r="I703">
        <f>VLOOKUP(Tableau65[[#This Row],[Utilisateur]],Tableau3[[Prenoms (ID)]:[Localisation]],3,FALSE)</f>
        <v>0</v>
      </c>
      <c r="J703">
        <f>VLOOKUP(Tableau65[[#This Row],[Utilisateur]],Tableau3[[Prenoms (ID)]:[CABINET]],4,FALSE)</f>
        <v>0</v>
      </c>
    </row>
    <row r="704" spans="1:13" x14ac:dyDescent="0.25">
      <c r="A704" s="2">
        <v>45705</v>
      </c>
      <c r="B704" t="s">
        <v>58</v>
      </c>
      <c r="C704" s="6">
        <v>3</v>
      </c>
      <c r="D704" t="s">
        <v>49</v>
      </c>
      <c r="E704" t="s">
        <v>624</v>
      </c>
      <c r="H704" s="35" t="e">
        <f>VLOOKUP(Tableau65[[#This Row],[Utilisateur]],Tableau3[[Prenoms (ID)]:[Localisation]],2,FALSE)</f>
        <v>#N/A</v>
      </c>
      <c r="I704" s="35" t="e">
        <f>VLOOKUP(Tableau65[[#This Row],[Utilisateur]],Tableau3[[Prenoms (ID)]:[Localisation]],3,FALSE)</f>
        <v>#N/A</v>
      </c>
      <c r="J704" s="35" t="e">
        <f>VLOOKUP(Tableau65[[#This Row],[Utilisateur]],Tableau3[[Prenoms (ID)]:[CABINET]],4,FALSE)</f>
        <v>#N/A</v>
      </c>
    </row>
    <row r="705" spans="1:10" x14ac:dyDescent="0.25">
      <c r="A705" s="2">
        <v>45706</v>
      </c>
      <c r="B705" t="s">
        <v>52</v>
      </c>
      <c r="C705" s="57">
        <v>1</v>
      </c>
      <c r="D705" t="s">
        <v>49</v>
      </c>
      <c r="G705" t="s">
        <v>383</v>
      </c>
      <c r="H705" t="str">
        <f>VLOOKUP(Tableau65[[#This Row],[Utilisateur]],Tableau3[[Prenoms (ID)]:[Localisation]],2,FALSE)</f>
        <v>RECCI SAV</v>
      </c>
      <c r="I705" t="str">
        <f>VLOOKUP(Tableau65[[#This Row],[Utilisateur]],Tableau3[[Prenoms (ID)]:[Localisation]],3,FALSE)</f>
        <v>BNI2</v>
      </c>
      <c r="J705">
        <f>VLOOKUP(Tableau65[[#This Row],[Utilisateur]],Tableau3[[Prenoms (ID)]:[CABINET]],4,FALSE)</f>
        <v>0</v>
      </c>
    </row>
    <row r="706" spans="1:10" x14ac:dyDescent="0.25">
      <c r="A706" s="2">
        <v>45706</v>
      </c>
      <c r="B706" t="s">
        <v>52</v>
      </c>
      <c r="C706" s="57">
        <v>1</v>
      </c>
      <c r="D706" t="s">
        <v>49</v>
      </c>
      <c r="G706" t="s">
        <v>523</v>
      </c>
      <c r="H706" t="str">
        <f>VLOOKUP(Tableau65[[#This Row],[Utilisateur]],Tableau3[[Prenoms (ID)]:[Localisation]],2,FALSE)</f>
        <v>PROGEXION</v>
      </c>
      <c r="I706" t="str">
        <f>VLOOKUP(Tableau65[[#This Row],[Utilisateur]],Tableau3[[Prenoms (ID)]:[Localisation]],3,FALSE)</f>
        <v>ARSAC</v>
      </c>
      <c r="J706">
        <f>VLOOKUP(Tableau65[[#This Row],[Utilisateur]],Tableau3[[Prenoms (ID)]:[CABINET]],4,FALSE)</f>
        <v>0</v>
      </c>
    </row>
    <row r="707" spans="1:10" x14ac:dyDescent="0.25">
      <c r="A707" s="2">
        <v>45706</v>
      </c>
      <c r="B707" t="s">
        <v>52</v>
      </c>
      <c r="C707" s="57">
        <v>1</v>
      </c>
      <c r="D707" t="s">
        <v>49</v>
      </c>
      <c r="G707" t="s">
        <v>464</v>
      </c>
      <c r="H707" t="str">
        <f>VLOOKUP(Tableau65[[#This Row],[Utilisateur]],Tableau3[[Prenoms (ID)]:[Localisation]],2,FALSE)</f>
        <v>Optique / Sata</v>
      </c>
      <c r="I707" t="str">
        <f>VLOOKUP(Tableau65[[#This Row],[Utilisateur]],Tableau3[[Prenoms (ID)]:[Localisation]],3,FALSE)</f>
        <v>BNI1</v>
      </c>
      <c r="J707">
        <f>VLOOKUP(Tableau65[[#This Row],[Utilisateur]],Tableau3[[Prenoms (ID)]:[CABINET]],4,FALSE)</f>
        <v>0</v>
      </c>
    </row>
    <row r="708" spans="1:10" x14ac:dyDescent="0.25">
      <c r="A708" s="2">
        <v>45706</v>
      </c>
      <c r="B708" t="s">
        <v>52</v>
      </c>
      <c r="C708" s="57">
        <v>1</v>
      </c>
      <c r="D708" t="s">
        <v>49</v>
      </c>
      <c r="G708" t="s">
        <v>473</v>
      </c>
      <c r="H708" t="str">
        <f>VLOOKUP(Tableau65[[#This Row],[Utilisateur]],Tableau3[[Prenoms (ID)]:[Localisation]],2,FALSE)</f>
        <v>Optique / Mirado</v>
      </c>
      <c r="I708" t="str">
        <f>VLOOKUP(Tableau65[[#This Row],[Utilisateur]],Tableau3[[Prenoms (ID)]:[Localisation]],3,FALSE)</f>
        <v>BNI1</v>
      </c>
      <c r="J708">
        <f>VLOOKUP(Tableau65[[#This Row],[Utilisateur]],Tableau3[[Prenoms (ID)]:[CABINET]],4,FALSE)</f>
        <v>0</v>
      </c>
    </row>
    <row r="709" spans="1:10" x14ac:dyDescent="0.25">
      <c r="A709" s="2">
        <v>45567</v>
      </c>
      <c r="B709" t="s">
        <v>24</v>
      </c>
      <c r="C709" s="6">
        <v>1</v>
      </c>
      <c r="D709" t="s">
        <v>49</v>
      </c>
      <c r="G709" t="s">
        <v>473</v>
      </c>
      <c r="H709" t="str">
        <f>VLOOKUP(Tableau65[[#This Row],[Utilisateur]],Tableau3[[Prenoms (ID)]:[Localisation]],2,FALSE)</f>
        <v>Optique / Mirado</v>
      </c>
      <c r="I709" t="str">
        <f>VLOOKUP(Tableau65[[#This Row],[Utilisateur]],Tableau3[[Prenoms (ID)]:[Localisation]],3,FALSE)</f>
        <v>BNI1</v>
      </c>
      <c r="J709">
        <f>VLOOKUP(Tableau65[[#This Row],[Utilisateur]],Tableau3[[Prenoms (ID)]:[CABINET]],4,FALSE)</f>
        <v>0</v>
      </c>
    </row>
    <row r="710" spans="1:10" x14ac:dyDescent="0.25">
      <c r="A710" s="2">
        <v>45709</v>
      </c>
      <c r="B710" t="s">
        <v>253</v>
      </c>
      <c r="C710" s="6">
        <v>100</v>
      </c>
      <c r="G710" t="s">
        <v>245</v>
      </c>
      <c r="H710">
        <f>VLOOKUP(Tableau65[[#This Row],[Utilisateur]],Tableau3[[Prenoms (ID)]:[Localisation]],2,FALSE)</f>
        <v>0</v>
      </c>
      <c r="I710" t="str">
        <f>VLOOKUP(Tableau65[[#This Row],[Utilisateur]],Tableau3[[Prenoms (ID)]:[Localisation]],3,FALSE)</f>
        <v>Matura</v>
      </c>
      <c r="J710">
        <f>VLOOKUP(Tableau65[[#This Row],[Utilisateur]],Tableau3[[Prenoms (ID)]:[CABINET]],4,FALSE)</f>
        <v>0</v>
      </c>
    </row>
    <row r="711" spans="1:10" x14ac:dyDescent="0.25">
      <c r="A711" s="2">
        <v>45709</v>
      </c>
      <c r="B711" t="s">
        <v>255</v>
      </c>
      <c r="C711" s="6">
        <v>2</v>
      </c>
      <c r="G711" t="s">
        <v>256</v>
      </c>
      <c r="H711">
        <f>VLOOKUP(Tableau65[[#This Row],[Utilisateur]],Tableau3[[Prenoms (ID)]:[Localisation]],2,FALSE)</f>
        <v>0</v>
      </c>
      <c r="I711" t="str">
        <f>VLOOKUP(Tableau65[[#This Row],[Utilisateur]],Tableau3[[Prenoms (ID)]:[Localisation]],3,FALSE)</f>
        <v>Mielohasina</v>
      </c>
      <c r="J711">
        <f>VLOOKUP(Tableau65[[#This Row],[Utilisateur]],Tableau3[[Prenoms (ID)]:[CABINET]],4,FALSE)</f>
        <v>0</v>
      </c>
    </row>
    <row r="712" spans="1:10" x14ac:dyDescent="0.25">
      <c r="A712" s="46">
        <v>45711</v>
      </c>
      <c r="B712" s="27" t="s">
        <v>257</v>
      </c>
      <c r="C712" s="6">
        <v>1</v>
      </c>
      <c r="D712" t="s">
        <v>49</v>
      </c>
      <c r="G712" t="s">
        <v>258</v>
      </c>
      <c r="H712" s="35" t="str">
        <f>VLOOKUP(Tableau65[[#This Row],[Utilisateur]],Tableau3[[Prenoms (ID)]:[Localisation]],2,FALSE)</f>
        <v>RECCI SAV</v>
      </c>
      <c r="I712" s="35" t="str">
        <f>VLOOKUP(Tableau65[[#This Row],[Utilisateur]],Tableau3[[Prenoms (ID)]:[Localisation]],3,FALSE)</f>
        <v>BNI2</v>
      </c>
      <c r="J712" s="35">
        <f>VLOOKUP(Tableau65[[#This Row],[Utilisateur]],Tableau3[[Prenoms (ID)]:[CABINET]],4,FALSE)</f>
        <v>0</v>
      </c>
    </row>
    <row r="713" spans="1:10" x14ac:dyDescent="0.25">
      <c r="A713" s="2">
        <v>45712</v>
      </c>
      <c r="B713" t="s">
        <v>52</v>
      </c>
      <c r="C713" s="57">
        <v>1</v>
      </c>
      <c r="D713" t="s">
        <v>49</v>
      </c>
      <c r="G713" t="s">
        <v>625</v>
      </c>
      <c r="H713" t="str">
        <f>VLOOKUP(Tableau65[[#This Row],[Utilisateur]],Tableau3[[Prenoms (ID)]:[Localisation]],2,FALSE)</f>
        <v>Audit CPA</v>
      </c>
      <c r="I713" t="str">
        <f>VLOOKUP(Tableau65[[#This Row],[Utilisateur]],Tableau3[[Prenoms (ID)]:[Localisation]],3,FALSE)</f>
        <v>AUDIT-CPA</v>
      </c>
      <c r="J713" t="str">
        <f>VLOOKUP(Tableau65[[#This Row],[Utilisateur]],Tableau3[[Prenoms (ID)]:[CABINET]],4,FALSE)</f>
        <v>CPA</v>
      </c>
    </row>
    <row r="714" spans="1:10" x14ac:dyDescent="0.25">
      <c r="A714" s="2">
        <v>45712</v>
      </c>
      <c r="B714" t="s">
        <v>52</v>
      </c>
      <c r="C714" s="57">
        <v>1</v>
      </c>
      <c r="D714" t="s">
        <v>49</v>
      </c>
      <c r="G714" t="s">
        <v>626</v>
      </c>
      <c r="H714" t="str">
        <f>VLOOKUP(Tableau65[[#This Row],[Utilisateur]],Tableau3[[Prenoms (ID)]:[Localisation]],2,FALSE)</f>
        <v>Audit CPA</v>
      </c>
      <c r="I714" t="str">
        <f>VLOOKUP(Tableau65[[#This Row],[Utilisateur]],Tableau3[[Prenoms (ID)]:[Localisation]],3,FALSE)</f>
        <v>AUDIT-CPA</v>
      </c>
      <c r="J714" t="str">
        <f>VLOOKUP(Tableau65[[#This Row],[Utilisateur]],Tableau3[[Prenoms (ID)]:[CABINET]],4,FALSE)</f>
        <v>CPA</v>
      </c>
    </row>
    <row r="715" spans="1:10" x14ac:dyDescent="0.25">
      <c r="A715" s="2">
        <v>45712</v>
      </c>
      <c r="B715" t="s">
        <v>58</v>
      </c>
      <c r="C715" s="6">
        <v>1</v>
      </c>
      <c r="D715" t="s">
        <v>49</v>
      </c>
      <c r="G715" t="s">
        <v>496</v>
      </c>
      <c r="H715" t="str">
        <f>VLOOKUP(Tableau65[[#This Row],[Utilisateur]],Tableau3[[Prenoms (ID)]:[Localisation]],2,FALSE)</f>
        <v>RECCI / Njato Be</v>
      </c>
      <c r="I715" t="str">
        <f>VLOOKUP(Tableau65[[#This Row],[Utilisateur]],Tableau3[[Prenoms (ID)]:[Localisation]],3,FALSE)</f>
        <v>BNI2</v>
      </c>
      <c r="J715">
        <f>VLOOKUP(Tableau65[[#This Row],[Utilisateur]],Tableau3[[Prenoms (ID)]:[CABINET]],4,FALSE)</f>
        <v>0</v>
      </c>
    </row>
    <row r="716" spans="1:10" x14ac:dyDescent="0.25">
      <c r="A716" s="46">
        <v>45712</v>
      </c>
      <c r="B716" s="27" t="s">
        <v>241</v>
      </c>
      <c r="C716" s="6">
        <v>1</v>
      </c>
      <c r="D716" t="s">
        <v>49</v>
      </c>
      <c r="G716" t="s">
        <v>260</v>
      </c>
      <c r="H716" s="35" t="str">
        <f>VLOOKUP(Tableau65[[#This Row],[Utilisateur]],Tableau3[[Prenoms (ID)]:[Localisation]],2,FALSE)</f>
        <v>Audit CPA</v>
      </c>
      <c r="I716" s="35" t="str">
        <f>VLOOKUP(Tableau65[[#This Row],[Utilisateur]],Tableau3[[Prenoms (ID)]:[Localisation]],3,FALSE)</f>
        <v>AUDIT-CPA</v>
      </c>
      <c r="J716" s="35" t="str">
        <f>VLOOKUP(Tableau65[[#This Row],[Utilisateur]],Tableau3[[Prenoms (ID)]:[CABINET]],4,FALSE)</f>
        <v>CPA</v>
      </c>
    </row>
    <row r="717" spans="1:10" x14ac:dyDescent="0.25">
      <c r="A717" s="2">
        <v>45713</v>
      </c>
      <c r="B717" t="s">
        <v>52</v>
      </c>
      <c r="C717" s="57">
        <v>1</v>
      </c>
      <c r="D717" t="s">
        <v>49</v>
      </c>
      <c r="G717" t="s">
        <v>539</v>
      </c>
      <c r="H717" t="str">
        <f>VLOOKUP(Tableau65[[#This Row],[Utilisateur]],Tableau3[[Prenoms (ID)]:[Localisation]],2,FALSE)</f>
        <v>Optique / Sata</v>
      </c>
      <c r="I717" t="str">
        <f>VLOOKUP(Tableau65[[#This Row],[Utilisateur]],Tableau3[[Prenoms (ID)]:[Localisation]],3,FALSE)</f>
        <v>BNI1</v>
      </c>
      <c r="J717">
        <f>VLOOKUP(Tableau65[[#This Row],[Utilisateur]],Tableau3[[Prenoms (ID)]:[CABINET]],4,FALSE)</f>
        <v>0</v>
      </c>
    </row>
    <row r="718" spans="1:10" x14ac:dyDescent="0.25">
      <c r="A718" s="2">
        <v>45713</v>
      </c>
      <c r="B718" t="s">
        <v>52</v>
      </c>
      <c r="C718" s="57">
        <v>1</v>
      </c>
      <c r="D718" t="s">
        <v>49</v>
      </c>
      <c r="G718" t="s">
        <v>627</v>
      </c>
      <c r="H718">
        <f>VLOOKUP(Tableau65[[#This Row],[Utilisateur]],Tableau3[[Prenoms (ID)]:[Localisation]],2,FALSE)</f>
        <v>0</v>
      </c>
      <c r="I718" t="str">
        <f>VLOOKUP(Tableau65[[#This Row],[Utilisateur]],Tableau3[[Prenoms (ID)]:[Localisation]],3,FALSE)</f>
        <v>BNI</v>
      </c>
      <c r="J718">
        <f>VLOOKUP(Tableau65[[#This Row],[Utilisateur]],Tableau3[[Prenoms (ID)]:[CABINET]],4,FALSE)</f>
        <v>0</v>
      </c>
    </row>
    <row r="719" spans="1:10" x14ac:dyDescent="0.25">
      <c r="A719" s="2">
        <v>45714</v>
      </c>
      <c r="B719" t="s">
        <v>52</v>
      </c>
      <c r="C719" s="57">
        <v>1</v>
      </c>
      <c r="D719" t="s">
        <v>49</v>
      </c>
      <c r="G719" t="s">
        <v>628</v>
      </c>
      <c r="H719" s="35" t="str">
        <f>VLOOKUP(Tableau65[[#This Row],[Utilisateur]],Tableau3[[Prenoms (ID)]:[Localisation]],2,FALSE)</f>
        <v>AUDIT-CPA</v>
      </c>
      <c r="I719" s="35">
        <f>VLOOKUP(Tableau65[[#This Row],[Utilisateur]],Tableau3[[Prenoms (ID)]:[Localisation]],3,FALSE)</f>
        <v>0</v>
      </c>
      <c r="J719" s="35">
        <f>VLOOKUP(Tableau65[[#This Row],[Utilisateur]],Tableau3[[Prenoms (ID)]:[CABINET]],4,FALSE)</f>
        <v>0</v>
      </c>
    </row>
    <row r="720" spans="1:10" x14ac:dyDescent="0.25">
      <c r="A720" s="2">
        <v>45714</v>
      </c>
      <c r="B720" t="s">
        <v>52</v>
      </c>
      <c r="C720" s="57">
        <v>1</v>
      </c>
      <c r="D720" t="s">
        <v>49</v>
      </c>
      <c r="G720" t="s">
        <v>606</v>
      </c>
      <c r="H720" s="35" t="str">
        <f>VLOOKUP(Tableau65[[#This Row],[Utilisateur]],Tableau3[[Prenoms (ID)]:[Localisation]],2,FALSE)</f>
        <v>AUDIT CPA</v>
      </c>
      <c r="I720" s="35" t="str">
        <f>VLOOKUP(Tableau65[[#This Row],[Utilisateur]],Tableau3[[Prenoms (ID)]:[Localisation]],3,FALSE)</f>
        <v>MATURA</v>
      </c>
      <c r="J720" s="35">
        <f>VLOOKUP(Tableau65[[#This Row],[Utilisateur]],Tableau3[[Prenoms (ID)]:[CABINET]],4,FALSE)</f>
        <v>0</v>
      </c>
    </row>
    <row r="721" spans="1:10" x14ac:dyDescent="0.25">
      <c r="A721" s="2">
        <v>45714</v>
      </c>
      <c r="B721" t="s">
        <v>52</v>
      </c>
      <c r="C721" s="57">
        <v>1</v>
      </c>
      <c r="D721" t="s">
        <v>49</v>
      </c>
      <c r="G721" t="s">
        <v>629</v>
      </c>
      <c r="H721" s="35">
        <f>VLOOKUP(Tableau65[[#This Row],[Utilisateur]],Tableau3[[Prenoms (ID)]:[Localisation]],2,FALSE)</f>
        <v>0</v>
      </c>
      <c r="I721" s="35" t="str">
        <f>VLOOKUP(Tableau65[[#This Row],[Utilisateur]],Tableau3[[Prenoms (ID)]:[Localisation]],3,FALSE)</f>
        <v>MATURA</v>
      </c>
      <c r="J721" s="35">
        <f>VLOOKUP(Tableau65[[#This Row],[Utilisateur]],Tableau3[[Prenoms (ID)]:[CABINET]],4,FALSE)</f>
        <v>0</v>
      </c>
    </row>
    <row r="722" spans="1:10" x14ac:dyDescent="0.25">
      <c r="A722" s="2">
        <v>45574</v>
      </c>
      <c r="B722" t="s">
        <v>24</v>
      </c>
      <c r="C722" s="6">
        <v>1</v>
      </c>
      <c r="D722" t="s">
        <v>49</v>
      </c>
      <c r="G722" t="s">
        <v>407</v>
      </c>
      <c r="H722" t="str">
        <f>VLOOKUP(Tableau65[[#This Row],[Utilisateur]],Tableau3[[Prenoms (ID)]:[Localisation]],2,FALSE)</f>
        <v>QUALITE</v>
      </c>
      <c r="I722" t="str">
        <f>VLOOKUP(Tableau65[[#This Row],[Utilisateur]],Tableau3[[Prenoms (ID)]:[Localisation]],3,FALSE)</f>
        <v>CENTRE</v>
      </c>
      <c r="J722">
        <f>VLOOKUP(Tableau65[[#This Row],[Utilisateur]],Tableau3[[Prenoms (ID)]:[CABINET]],4,FALSE)</f>
        <v>0</v>
      </c>
    </row>
    <row r="723" spans="1:10" x14ac:dyDescent="0.25">
      <c r="A723" s="2">
        <v>45715</v>
      </c>
      <c r="B723" t="s">
        <v>91</v>
      </c>
      <c r="C723" s="6">
        <v>2</v>
      </c>
      <c r="D723" t="s">
        <v>49</v>
      </c>
      <c r="E723" t="s">
        <v>89</v>
      </c>
      <c r="H723" s="35" t="e">
        <f>VLOOKUP(Tableau65[[#This Row],[Utilisateur]],Tableau3[[Prenoms (ID)]:[Localisation]],2,FALSE)</f>
        <v>#N/A</v>
      </c>
      <c r="I723" s="35" t="e">
        <f>VLOOKUP(Tableau65[[#This Row],[Utilisateur]],Tableau3[[Prenoms (ID)]:[Localisation]],3,FALSE)</f>
        <v>#N/A</v>
      </c>
      <c r="J723" s="35" t="e">
        <f>VLOOKUP(Tableau65[[#This Row],[Utilisateur]],Tableau3[[Prenoms (ID)]:[CABINET]],4,FALSE)</f>
        <v>#N/A</v>
      </c>
    </row>
    <row r="724" spans="1:10" x14ac:dyDescent="0.25">
      <c r="A724" s="2">
        <v>45715</v>
      </c>
      <c r="B724" t="s">
        <v>91</v>
      </c>
      <c r="C724" s="6">
        <v>10</v>
      </c>
      <c r="D724" t="s">
        <v>49</v>
      </c>
      <c r="E724" t="s">
        <v>245</v>
      </c>
      <c r="G724" t="s">
        <v>245</v>
      </c>
      <c r="H724" s="35">
        <f>VLOOKUP(Tableau65[[#This Row],[Utilisateur]],Tableau3[[Prenoms (ID)]:[Localisation]],2,FALSE)</f>
        <v>0</v>
      </c>
      <c r="I724" s="35" t="str">
        <f>VLOOKUP(Tableau65[[#This Row],[Utilisateur]],Tableau3[[Prenoms (ID)]:[Localisation]],3,FALSE)</f>
        <v>Matura</v>
      </c>
      <c r="J724" s="35">
        <f>VLOOKUP(Tableau65[[#This Row],[Utilisateur]],Tableau3[[Prenoms (ID)]:[CABINET]],4,FALSE)</f>
        <v>0</v>
      </c>
    </row>
    <row r="725" spans="1:10" x14ac:dyDescent="0.25">
      <c r="A725" s="2">
        <v>45715</v>
      </c>
      <c r="B725" t="s">
        <v>91</v>
      </c>
      <c r="C725" s="6">
        <v>6</v>
      </c>
      <c r="D725" t="s">
        <v>49</v>
      </c>
      <c r="E725" t="s">
        <v>63</v>
      </c>
      <c r="H725" s="35" t="e">
        <f>VLOOKUP(Tableau65[[#This Row],[Utilisateur]],Tableau3[[Prenoms (ID)]:[Localisation]],2,FALSE)</f>
        <v>#N/A</v>
      </c>
      <c r="I725" s="35" t="e">
        <f>VLOOKUP(Tableau65[[#This Row],[Utilisateur]],Tableau3[[Prenoms (ID)]:[Localisation]],3,FALSE)</f>
        <v>#N/A</v>
      </c>
      <c r="J725" s="35" t="e">
        <f>VLOOKUP(Tableau65[[#This Row],[Utilisateur]],Tableau3[[Prenoms (ID)]:[CABINET]],4,FALSE)</f>
        <v>#N/A</v>
      </c>
    </row>
    <row r="726" spans="1:10" x14ac:dyDescent="0.25">
      <c r="A726" s="2">
        <v>45715</v>
      </c>
      <c r="B726" t="s">
        <v>91</v>
      </c>
      <c r="C726" s="6">
        <v>12</v>
      </c>
      <c r="D726" t="s">
        <v>49</v>
      </c>
      <c r="E726" t="s">
        <v>72</v>
      </c>
      <c r="H726" s="35" t="e">
        <f>VLOOKUP(Tableau65[[#This Row],[Utilisateur]],Tableau3[[Prenoms (ID)]:[Localisation]],2,FALSE)</f>
        <v>#N/A</v>
      </c>
      <c r="I726" s="35" t="e">
        <f>VLOOKUP(Tableau65[[#This Row],[Utilisateur]],Tableau3[[Prenoms (ID)]:[Localisation]],3,FALSE)</f>
        <v>#N/A</v>
      </c>
      <c r="J726" s="35" t="e">
        <f>VLOOKUP(Tableau65[[#This Row],[Utilisateur]],Tableau3[[Prenoms (ID)]:[CABINET]],4,FALSE)</f>
        <v>#N/A</v>
      </c>
    </row>
    <row r="727" spans="1:10" x14ac:dyDescent="0.25">
      <c r="A727" s="2">
        <v>45715</v>
      </c>
      <c r="B727" t="s">
        <v>52</v>
      </c>
      <c r="C727" s="57">
        <v>1</v>
      </c>
      <c r="D727" t="s">
        <v>49</v>
      </c>
      <c r="G727" t="s">
        <v>630</v>
      </c>
      <c r="H727" t="str">
        <f>VLOOKUP(Tableau65[[#This Row],[Utilisateur]],Tableau3[[Prenoms (ID)]:[Localisation]],2,FALSE)</f>
        <v>Audit CPA</v>
      </c>
      <c r="I727" t="str">
        <f>VLOOKUP(Tableau65[[#This Row],[Utilisateur]],Tableau3[[Prenoms (ID)]:[Localisation]],3,FALSE)</f>
        <v>AUDIT-CPA</v>
      </c>
      <c r="J727" t="str">
        <f>VLOOKUP(Tableau65[[#This Row],[Utilisateur]],Tableau3[[Prenoms (ID)]:[CABINET]],4,FALSE)</f>
        <v>CPA</v>
      </c>
    </row>
    <row r="728" spans="1:10" x14ac:dyDescent="0.25">
      <c r="A728" s="2">
        <v>45716</v>
      </c>
      <c r="B728" t="s">
        <v>52</v>
      </c>
      <c r="C728" s="57">
        <v>1</v>
      </c>
      <c r="D728" t="s">
        <v>49</v>
      </c>
      <c r="G728" t="s">
        <v>435</v>
      </c>
      <c r="H728" t="str">
        <f>VLOOKUP(Tableau65[[#This Row],[Utilisateur]],Tableau3[[Prenoms (ID)]:[Localisation]],2,FALSE)</f>
        <v>Optique / Mirado</v>
      </c>
      <c r="I728" t="str">
        <f>VLOOKUP(Tableau65[[#This Row],[Utilisateur]],Tableau3[[Prenoms (ID)]:[Localisation]],3,FALSE)</f>
        <v>BNI1</v>
      </c>
      <c r="J728">
        <f>VLOOKUP(Tableau65[[#This Row],[Utilisateur]],Tableau3[[Prenoms (ID)]:[CABINET]],4,FALSE)</f>
        <v>0</v>
      </c>
    </row>
    <row r="729" spans="1:10" x14ac:dyDescent="0.25">
      <c r="A729" s="2">
        <v>45716</v>
      </c>
      <c r="B729" t="s">
        <v>84</v>
      </c>
      <c r="C729" s="6">
        <v>1</v>
      </c>
      <c r="D729" t="s">
        <v>49</v>
      </c>
      <c r="G729" t="s">
        <v>414</v>
      </c>
      <c r="H729" t="str">
        <f>VLOOKUP(Tableau65[[#This Row],[Utilisateur]],Tableau3[[Prenoms (ID)]:[Localisation]],2,FALSE)</f>
        <v>Optique / Sata</v>
      </c>
      <c r="I729" t="str">
        <f>VLOOKUP(Tableau65[[#This Row],[Utilisateur]],Tableau3[[Prenoms (ID)]:[Localisation]],3,FALSE)</f>
        <v>BNI1</v>
      </c>
      <c r="J729" t="str">
        <f>VLOOKUP(Tableau65[[#This Row],[Utilisateur]],Tableau3[[Prenoms (ID)]:[CABINET]],4,FALSE)</f>
        <v>RFC</v>
      </c>
    </row>
    <row r="730" spans="1:10" x14ac:dyDescent="0.25">
      <c r="A730" s="2">
        <v>45625</v>
      </c>
      <c r="B730" t="s">
        <v>24</v>
      </c>
      <c r="C730" s="6">
        <v>1</v>
      </c>
      <c r="D730" t="s">
        <v>49</v>
      </c>
      <c r="G730" t="s">
        <v>414</v>
      </c>
      <c r="H730" t="str">
        <f>VLOOKUP(Tableau65[[#This Row],[Utilisateur]],Tableau3[[Prenoms (ID)]:[Localisation]],2,FALSE)</f>
        <v>Optique / Sata</v>
      </c>
      <c r="I730" t="str">
        <f>VLOOKUP(Tableau65[[#This Row],[Utilisateur]],Tableau3[[Prenoms (ID)]:[Localisation]],3,FALSE)</f>
        <v>BNI1</v>
      </c>
      <c r="J730" t="str">
        <f>VLOOKUP(Tableau65[[#This Row],[Utilisateur]],Tableau3[[Prenoms (ID)]:[CABINET]],4,FALSE)</f>
        <v>RFC</v>
      </c>
    </row>
    <row r="731" spans="1:10" x14ac:dyDescent="0.25">
      <c r="A731" s="2">
        <v>45720</v>
      </c>
      <c r="B731" t="s">
        <v>52</v>
      </c>
      <c r="C731" s="57">
        <v>1</v>
      </c>
      <c r="D731" t="s">
        <v>49</v>
      </c>
      <c r="G731" t="s">
        <v>414</v>
      </c>
      <c r="H731" t="str">
        <f>VLOOKUP(Tableau65[[#This Row],[Utilisateur]],Tableau3[[Prenoms (ID)]:[Localisation]],2,FALSE)</f>
        <v>Optique / Sata</v>
      </c>
      <c r="I731" t="str">
        <f>VLOOKUP(Tableau65[[#This Row],[Utilisateur]],Tableau3[[Prenoms (ID)]:[Localisation]],3,FALSE)</f>
        <v>BNI1</v>
      </c>
      <c r="J731" t="str">
        <f>VLOOKUP(Tableau65[[#This Row],[Utilisateur]],Tableau3[[Prenoms (ID)]:[CABINET]],4,FALSE)</f>
        <v>RFC</v>
      </c>
    </row>
    <row r="732" spans="1:10" x14ac:dyDescent="0.25">
      <c r="A732" s="2">
        <v>45721</v>
      </c>
      <c r="B732" t="s">
        <v>52</v>
      </c>
      <c r="C732" s="57">
        <v>1</v>
      </c>
      <c r="D732" t="s">
        <v>49</v>
      </c>
      <c r="E732" t="s">
        <v>631</v>
      </c>
      <c r="G732" t="s">
        <v>212</v>
      </c>
      <c r="H732">
        <f>VLOOKUP(Tableau65[[#This Row],[Utilisateur]],Tableau3[[Prenoms (ID)]:[Localisation]],2,FALSE)</f>
        <v>0</v>
      </c>
      <c r="I732">
        <f>VLOOKUP(Tableau65[[#This Row],[Utilisateur]],Tableau3[[Prenoms (ID)]:[Localisation]],3,FALSE)</f>
        <v>0</v>
      </c>
      <c r="J732">
        <f>VLOOKUP(Tableau65[[#This Row],[Utilisateur]],Tableau3[[Prenoms (ID)]:[CABINET]],4,FALSE)</f>
        <v>0</v>
      </c>
    </row>
    <row r="733" spans="1:10" x14ac:dyDescent="0.25">
      <c r="A733" s="2">
        <v>45723</v>
      </c>
      <c r="B733" t="s">
        <v>52</v>
      </c>
      <c r="C733" s="57">
        <v>1</v>
      </c>
      <c r="D733" t="s">
        <v>49</v>
      </c>
      <c r="G733" t="s">
        <v>632</v>
      </c>
      <c r="H733" s="35" t="str">
        <f>VLOOKUP(Tableau65[[#This Row],[Utilisateur]],Tableau3[[Prenoms (ID)]:[Localisation]],2,FALSE)</f>
        <v>Audit CPA</v>
      </c>
      <c r="I733" s="35" t="str">
        <f>VLOOKUP(Tableau65[[#This Row],[Utilisateur]],Tableau3[[Prenoms (ID)]:[Localisation]],3,FALSE)</f>
        <v>AUDIT-CPA</v>
      </c>
      <c r="J733" s="35" t="str">
        <f>VLOOKUP(Tableau65[[#This Row],[Utilisateur]],Tableau3[[Prenoms (ID)]:[CABINET]],4,FALSE)</f>
        <v>CPA</v>
      </c>
    </row>
    <row r="734" spans="1:10" x14ac:dyDescent="0.25">
      <c r="A734" s="2">
        <v>45723</v>
      </c>
      <c r="B734" t="s">
        <v>139</v>
      </c>
      <c r="C734" s="6">
        <v>1</v>
      </c>
      <c r="D734" t="s">
        <v>49</v>
      </c>
      <c r="G734" t="s">
        <v>625</v>
      </c>
      <c r="H734" s="35" t="str">
        <f>VLOOKUP(Tableau65[[#This Row],[Utilisateur]],Tableau3[[Prenoms (ID)]:[Localisation]],2,FALSE)</f>
        <v>Audit CPA</v>
      </c>
      <c r="I734" s="35" t="str">
        <f>VLOOKUP(Tableau65[[#This Row],[Utilisateur]],Tableau3[[Prenoms (ID)]:[Localisation]],3,FALSE)</f>
        <v>AUDIT-CPA</v>
      </c>
      <c r="J734" s="35" t="str">
        <f>VLOOKUP(Tableau65[[#This Row],[Utilisateur]],Tableau3[[Prenoms (ID)]:[CABINET]],4,FALSE)</f>
        <v>CPA</v>
      </c>
    </row>
    <row r="735" spans="1:10" x14ac:dyDescent="0.25">
      <c r="A735" s="2">
        <v>45723</v>
      </c>
      <c r="B735" t="s">
        <v>52</v>
      </c>
      <c r="C735" s="57">
        <v>1</v>
      </c>
      <c r="D735" t="s">
        <v>49</v>
      </c>
      <c r="G735" t="s">
        <v>633</v>
      </c>
      <c r="H735" s="35" t="str">
        <f>VLOOKUP(Tableau65[[#This Row],[Utilisateur]],Tableau3[[Prenoms (ID)]:[Localisation]],2,FALSE)</f>
        <v>Audit CPA</v>
      </c>
      <c r="I735" s="35" t="str">
        <f>VLOOKUP(Tableau65[[#This Row],[Utilisateur]],Tableau3[[Prenoms (ID)]:[Localisation]],3,FALSE)</f>
        <v>MADAFIT</v>
      </c>
      <c r="J735" s="35" t="str">
        <f>VLOOKUP(Tableau65[[#This Row],[Utilisateur]],Tableau3[[Prenoms (ID)]:[CABINET]],4,FALSE)</f>
        <v>CPA</v>
      </c>
    </row>
    <row r="736" spans="1:10" x14ac:dyDescent="0.25">
      <c r="A736" s="2">
        <v>45628</v>
      </c>
      <c r="B736" t="s">
        <v>24</v>
      </c>
      <c r="C736" s="6">
        <v>1</v>
      </c>
      <c r="D736" t="s">
        <v>49</v>
      </c>
      <c r="G736" t="s">
        <v>316</v>
      </c>
      <c r="H736" t="str">
        <f>VLOOKUP(Tableau65[[#This Row],[Utilisateur]],Tableau3[[Prenoms (ID)]:[Localisation]],2,FALSE)</f>
        <v>Audit CPA</v>
      </c>
      <c r="I736" t="str">
        <f>VLOOKUP(Tableau65[[#This Row],[Utilisateur]],Tableau3[[Prenoms (ID)]:[Localisation]],3,FALSE)</f>
        <v>AUDIT-CPA</v>
      </c>
      <c r="J736" t="str">
        <f>VLOOKUP(Tableau65[[#This Row],[Utilisateur]],Tableau3[[Prenoms (ID)]:[CABINET]],4,FALSE)</f>
        <v>CPA</v>
      </c>
    </row>
    <row r="737" spans="1:10" x14ac:dyDescent="0.25">
      <c r="A737" s="2">
        <v>45726</v>
      </c>
      <c r="B737" t="s">
        <v>52</v>
      </c>
      <c r="C737" s="57">
        <v>1</v>
      </c>
      <c r="D737" t="s">
        <v>49</v>
      </c>
      <c r="G737" t="s">
        <v>379</v>
      </c>
      <c r="H737" s="35" t="str">
        <f>VLOOKUP(Tableau65[[#This Row],[Utilisateur]],Tableau3[[Prenoms (ID)]:[Localisation]],2,FALSE)</f>
        <v>Admin</v>
      </c>
      <c r="I737" s="35" t="str">
        <f>VLOOKUP(Tableau65[[#This Row],[Utilisateur]],Tableau3[[Prenoms (ID)]:[Localisation]],3,FALSE)</f>
        <v>DIRECTION</v>
      </c>
      <c r="J737" s="35">
        <f>VLOOKUP(Tableau65[[#This Row],[Utilisateur]],Tableau3[[Prenoms (ID)]:[CABINET]],4,FALSE)</f>
        <v>0</v>
      </c>
    </row>
    <row r="738" spans="1:10" x14ac:dyDescent="0.25">
      <c r="A738" s="2">
        <v>45728</v>
      </c>
      <c r="B738" t="s">
        <v>54</v>
      </c>
      <c r="C738" s="6">
        <v>1</v>
      </c>
      <c r="D738" t="s">
        <v>49</v>
      </c>
      <c r="G738" t="s">
        <v>397</v>
      </c>
      <c r="H738" s="35" t="str">
        <f>VLOOKUP(Tableau65[[#This Row],[Utilisateur]],Tableau3[[Prenoms (ID)]:[Localisation]],2,FALSE)</f>
        <v>-</v>
      </c>
      <c r="I738" s="35" t="str">
        <f>VLOOKUP(Tableau65[[#This Row],[Utilisateur]],Tableau3[[Prenoms (ID)]:[Localisation]],3,FALSE)</f>
        <v>BIRA</v>
      </c>
      <c r="J738" s="35" t="str">
        <f>VLOOKUP(Tableau65[[#This Row],[Utilisateur]],Tableau3[[Prenoms (ID)]:[CABINET]],4,FALSE)</f>
        <v>CPA</v>
      </c>
    </row>
    <row r="739" spans="1:10" x14ac:dyDescent="0.25">
      <c r="A739" s="2">
        <v>45728</v>
      </c>
      <c r="B739" t="s">
        <v>25</v>
      </c>
      <c r="C739" s="6">
        <v>1</v>
      </c>
      <c r="D739" t="s">
        <v>49</v>
      </c>
      <c r="G739" t="s">
        <v>537</v>
      </c>
      <c r="H739" s="35" t="str">
        <f>VLOOKUP(Tableau65[[#This Row],[Utilisateur]],Tableau3[[Prenoms (ID)]:[Localisation]],2,FALSE)</f>
        <v>QUALITE</v>
      </c>
      <c r="I739" s="35" t="str">
        <f>VLOOKUP(Tableau65[[#This Row],[Utilisateur]],Tableau3[[Prenoms (ID)]:[Localisation]],3,FALSE)</f>
        <v>DIRECTION</v>
      </c>
      <c r="J739" s="35" t="str">
        <f>VLOOKUP(Tableau65[[#This Row],[Utilisateur]],Tableau3[[Prenoms (ID)]:[CABINET]],4,FALSE)</f>
        <v>CPA</v>
      </c>
    </row>
    <row r="740" spans="1:10" x14ac:dyDescent="0.25">
      <c r="A740" s="2">
        <v>45734</v>
      </c>
      <c r="B740" t="s">
        <v>52</v>
      </c>
      <c r="C740" s="57">
        <v>1</v>
      </c>
      <c r="D740" t="s">
        <v>49</v>
      </c>
      <c r="G740" t="s">
        <v>634</v>
      </c>
      <c r="H740" s="35" t="str">
        <f>VLOOKUP(Tableau65[[#This Row],[Utilisateur]],Tableau3[[Prenoms (ID)]:[Localisation]],2,FALSE)</f>
        <v>Ozeo</v>
      </c>
      <c r="I740" s="35" t="str">
        <f>VLOOKUP(Tableau65[[#This Row],[Utilisateur]],Tableau3[[Prenoms (ID)]:[Localisation]],3,FALSE)</f>
        <v>Centre</v>
      </c>
      <c r="J740" s="35">
        <f>VLOOKUP(Tableau65[[#This Row],[Utilisateur]],Tableau3[[Prenoms (ID)]:[CABINET]],4,FALSE)</f>
        <v>0</v>
      </c>
    </row>
    <row r="741" spans="1:10" x14ac:dyDescent="0.25">
      <c r="A741" s="2">
        <v>45734</v>
      </c>
      <c r="B741" t="s">
        <v>52</v>
      </c>
      <c r="C741" s="57">
        <v>1</v>
      </c>
      <c r="D741" t="s">
        <v>49</v>
      </c>
      <c r="G741" t="s">
        <v>387</v>
      </c>
      <c r="H741" s="35" t="str">
        <f>VLOOKUP(Tableau65[[#This Row],[Utilisateur]],Tableau3[[Prenoms (ID)]:[Localisation]],2,FALSE)</f>
        <v>Comptastar</v>
      </c>
      <c r="I741" s="35" t="str">
        <f>VLOOKUP(Tableau65[[#This Row],[Utilisateur]],Tableau3[[Prenoms (ID)]:[Localisation]],3,FALSE)</f>
        <v>CENTRE</v>
      </c>
      <c r="J741" s="35">
        <f>VLOOKUP(Tableau65[[#This Row],[Utilisateur]],Tableau3[[Prenoms (ID)]:[CABINET]],4,FALSE)</f>
        <v>0</v>
      </c>
    </row>
    <row r="742" spans="1:10" x14ac:dyDescent="0.25">
      <c r="A742" s="2">
        <v>45741</v>
      </c>
      <c r="B742" t="s">
        <v>52</v>
      </c>
      <c r="C742" s="57">
        <v>1</v>
      </c>
      <c r="D742" t="s">
        <v>49</v>
      </c>
      <c r="G742" t="s">
        <v>635</v>
      </c>
      <c r="H742" s="35" t="str">
        <f>VLOOKUP(Tableau65[[#This Row],[Utilisateur]],Tableau3[[Prenoms (ID)]:[Localisation]],2,FALSE)</f>
        <v>Apprenti</v>
      </c>
      <c r="I742" s="35" t="str">
        <f>VLOOKUP(Tableau65[[#This Row],[Utilisateur]],Tableau3[[Prenoms (ID)]:[Localisation]],3,FALSE)</f>
        <v>-</v>
      </c>
      <c r="J742" s="35">
        <f>VLOOKUP(Tableau65[[#This Row],[Utilisateur]],Tableau3[[Prenoms (ID)]:[CABINET]],4,FALSE)</f>
        <v>0</v>
      </c>
    </row>
    <row r="743" spans="1:10" x14ac:dyDescent="0.25">
      <c r="A743" s="2">
        <v>45742</v>
      </c>
      <c r="B743" t="s">
        <v>52</v>
      </c>
      <c r="C743" s="57">
        <v>1</v>
      </c>
      <c r="D743" t="s">
        <v>49</v>
      </c>
      <c r="G743" t="s">
        <v>425</v>
      </c>
      <c r="H743" s="35" t="str">
        <f>VLOOKUP(Tableau65[[#This Row],[Utilisateur]],Tableau3[[Prenoms (ID)]:[Localisation]],2,FALSE)</f>
        <v>Accefi</v>
      </c>
      <c r="I743" s="35" t="str">
        <f>VLOOKUP(Tableau65[[#This Row],[Utilisateur]],Tableau3[[Prenoms (ID)]:[Localisation]],3,FALSE)</f>
        <v>ACCEFI</v>
      </c>
      <c r="J743" s="35" t="str">
        <f>VLOOKUP(Tableau65[[#This Row],[Utilisateur]],Tableau3[[Prenoms (ID)]:[CABINET]],4,FALSE)</f>
        <v>CPA</v>
      </c>
    </row>
    <row r="744" spans="1:10" x14ac:dyDescent="0.25">
      <c r="A744" s="2">
        <v>45742</v>
      </c>
      <c r="B744" t="s">
        <v>52</v>
      </c>
      <c r="C744" s="57">
        <v>1</v>
      </c>
      <c r="D744" t="s">
        <v>49</v>
      </c>
      <c r="G744" t="s">
        <v>636</v>
      </c>
      <c r="H744" s="35" t="str">
        <f>VLOOKUP(Tableau65[[#This Row],[Utilisateur]],Tableau3[[Prenoms (ID)]:[Localisation]],2,FALSE)</f>
        <v>Apprenti</v>
      </c>
      <c r="I744" s="35" t="str">
        <f>VLOOKUP(Tableau65[[#This Row],[Utilisateur]],Tableau3[[Prenoms (ID)]:[Localisation]],3,FALSE)</f>
        <v>BIRA</v>
      </c>
      <c r="J744" s="35">
        <f>VLOOKUP(Tableau65[[#This Row],[Utilisateur]],Tableau3[[Prenoms (ID)]:[CABINET]],4,FALSE)</f>
        <v>0</v>
      </c>
    </row>
    <row r="745" spans="1:10" x14ac:dyDescent="0.25">
      <c r="A745" s="2">
        <v>45743</v>
      </c>
      <c r="B745" t="s">
        <v>52</v>
      </c>
      <c r="C745" s="57">
        <v>1</v>
      </c>
      <c r="D745" t="s">
        <v>49</v>
      </c>
      <c r="G745" t="s">
        <v>423</v>
      </c>
      <c r="H745" s="35" t="str">
        <f>VLOOKUP(Tableau65[[#This Row],[Utilisateur]],Tableau3[[Prenoms (ID)]:[Localisation]],2,FALSE)</f>
        <v>Apprenti</v>
      </c>
      <c r="I745" s="35" t="str">
        <f>VLOOKUP(Tableau65[[#This Row],[Utilisateur]],Tableau3[[Prenoms (ID)]:[Localisation]],3,FALSE)</f>
        <v>BIRA</v>
      </c>
      <c r="J745" s="35" t="str">
        <f>VLOOKUP(Tableau65[[#This Row],[Utilisateur]],Tableau3[[Prenoms (ID)]:[CABINET]],4,FALSE)</f>
        <v>CPA</v>
      </c>
    </row>
    <row r="746" spans="1:10" x14ac:dyDescent="0.25">
      <c r="A746" s="2">
        <v>45751</v>
      </c>
      <c r="B746" t="s">
        <v>52</v>
      </c>
      <c r="C746" s="57">
        <v>1</v>
      </c>
      <c r="D746" t="s">
        <v>49</v>
      </c>
      <c r="G746" t="s">
        <v>334</v>
      </c>
      <c r="H746" s="35" t="str">
        <f>VLOOKUP(Tableau65[[#This Row],[Utilisateur]],Tableau3[[Prenoms (ID)]:[Localisation]],2,FALSE)</f>
        <v>Optique / Mirado</v>
      </c>
      <c r="I746" s="35" t="str">
        <f>VLOOKUP(Tableau65[[#This Row],[Utilisateur]],Tableau3[[Prenoms (ID)]:[Localisation]],3,FALSE)</f>
        <v>BNI1</v>
      </c>
      <c r="J746" s="35">
        <f>VLOOKUP(Tableau65[[#This Row],[Utilisateur]],Tableau3[[Prenoms (ID)]:[CABINET]],4,FALSE)</f>
        <v>0</v>
      </c>
    </row>
    <row r="747" spans="1:10" x14ac:dyDescent="0.25">
      <c r="A747" s="2">
        <v>45751</v>
      </c>
      <c r="B747" t="s">
        <v>52</v>
      </c>
      <c r="C747" s="57">
        <v>1</v>
      </c>
      <c r="D747" t="s">
        <v>49</v>
      </c>
      <c r="G747" t="s">
        <v>496</v>
      </c>
      <c r="H747" s="35" t="str">
        <f>VLOOKUP(Tableau65[[#This Row],[Utilisateur]],Tableau3[[Prenoms (ID)]:[Localisation]],2,FALSE)</f>
        <v>RECCI / Njato Be</v>
      </c>
      <c r="I747" s="35" t="str">
        <f>VLOOKUP(Tableau65[[#This Row],[Utilisateur]],Tableau3[[Prenoms (ID)]:[Localisation]],3,FALSE)</f>
        <v>BNI2</v>
      </c>
      <c r="J747" s="35">
        <f>VLOOKUP(Tableau65[[#This Row],[Utilisateur]],Tableau3[[Prenoms (ID)]:[CABINET]],4,FALSE)</f>
        <v>0</v>
      </c>
    </row>
    <row r="748" spans="1:10" x14ac:dyDescent="0.25">
      <c r="A748" s="2">
        <v>45751</v>
      </c>
      <c r="B748" t="s">
        <v>52</v>
      </c>
      <c r="C748" s="57">
        <v>1</v>
      </c>
      <c r="D748" t="s">
        <v>49</v>
      </c>
      <c r="G748" t="s">
        <v>338</v>
      </c>
      <c r="H748" s="35" t="str">
        <f>VLOOKUP(Tableau65[[#This Row],[Utilisateur]],Tableau3[[Prenoms (ID)]:[Localisation]],2,FALSE)</f>
        <v>Audit CPA</v>
      </c>
      <c r="I748" s="35" t="str">
        <f>VLOOKUP(Tableau65[[#This Row],[Utilisateur]],Tableau3[[Prenoms (ID)]:[Localisation]],3,FALSE)</f>
        <v>AUDIT-CPA</v>
      </c>
      <c r="J748" s="35" t="str">
        <f>VLOOKUP(Tableau65[[#This Row],[Utilisateur]],Tableau3[[Prenoms (ID)]:[CABINET]],4,FALSE)</f>
        <v>CPA</v>
      </c>
    </row>
    <row r="749" spans="1:10" x14ac:dyDescent="0.25">
      <c r="A749" s="2">
        <v>45754</v>
      </c>
      <c r="B749" t="s">
        <v>139</v>
      </c>
      <c r="C749" s="6">
        <v>1</v>
      </c>
      <c r="D749" t="s">
        <v>49</v>
      </c>
      <c r="G749" t="s">
        <v>637</v>
      </c>
      <c r="H749" s="35" t="str">
        <f>VLOOKUP(Tableau65[[#This Row],[Utilisateur]],Tableau3[[Prenoms (ID)]:[Localisation]],2,FALSE)</f>
        <v>Apprenti</v>
      </c>
      <c r="I749" s="35" t="str">
        <f>VLOOKUP(Tableau65[[#This Row],[Utilisateur]],Tableau3[[Prenoms (ID)]:[Localisation]],3,FALSE)</f>
        <v>BIRA</v>
      </c>
      <c r="J749" s="35" t="str">
        <f>VLOOKUP(Tableau65[[#This Row],[Utilisateur]],Tableau3[[Prenoms (ID)]:[CABINET]],4,FALSE)</f>
        <v>CPA</v>
      </c>
    </row>
    <row r="750" spans="1:10" x14ac:dyDescent="0.25">
      <c r="A750" s="2">
        <v>45754</v>
      </c>
      <c r="B750" t="s">
        <v>60</v>
      </c>
      <c r="C750" s="6">
        <v>1</v>
      </c>
      <c r="D750" t="s">
        <v>49</v>
      </c>
      <c r="G750" t="s">
        <v>638</v>
      </c>
      <c r="H750" s="35" t="str">
        <f>VLOOKUP(Tableau65[[#This Row],[Utilisateur]],Tableau3[[Prenoms (ID)]:[Localisation]],2,FALSE)</f>
        <v>Apprenti</v>
      </c>
      <c r="I750" s="35" t="str">
        <f>VLOOKUP(Tableau65[[#This Row],[Utilisateur]],Tableau3[[Prenoms (ID)]:[Localisation]],3,FALSE)</f>
        <v>BIRA</v>
      </c>
      <c r="J750" s="35" t="str">
        <f>VLOOKUP(Tableau65[[#This Row],[Utilisateur]],Tableau3[[Prenoms (ID)]:[CABINET]],4,FALSE)</f>
        <v>CPA</v>
      </c>
    </row>
    <row r="751" spans="1:10" x14ac:dyDescent="0.25">
      <c r="A751" s="2">
        <v>45755</v>
      </c>
      <c r="B751" t="s">
        <v>52</v>
      </c>
      <c r="C751" s="6">
        <v>1</v>
      </c>
      <c r="D751" t="s">
        <v>49</v>
      </c>
      <c r="G751" t="s">
        <v>616</v>
      </c>
      <c r="H751" s="35" t="str">
        <f>VLOOKUP(Tableau65[[#This Row],[Utilisateur]],Tableau3[[Prenoms (ID)]:[Localisation]],2,FALSE)</f>
        <v>Info</v>
      </c>
      <c r="I751" s="35" t="str">
        <f>VLOOKUP(Tableau65[[#This Row],[Utilisateur]],Tableau3[[Prenoms (ID)]:[Localisation]],3,FALSE)</f>
        <v>Informatique</v>
      </c>
      <c r="J751" s="35">
        <f>VLOOKUP(Tableau65[[#This Row],[Utilisateur]],Tableau3[[Prenoms (ID)]:[CABINET]],4,FALSE)</f>
        <v>0</v>
      </c>
    </row>
    <row r="752" spans="1:10" x14ac:dyDescent="0.25">
      <c r="A752" s="2">
        <v>45756</v>
      </c>
      <c r="B752" t="s">
        <v>52</v>
      </c>
      <c r="C752" s="6">
        <v>1</v>
      </c>
      <c r="D752" t="s">
        <v>49</v>
      </c>
      <c r="G752" t="s">
        <v>346</v>
      </c>
      <c r="H752" s="35" t="str">
        <f>VLOOKUP(Tableau65[[#This Row],[Utilisateur]],Tableau3[[Prenoms (ID)]:[Localisation]],2,FALSE)</f>
        <v>Optique / Sata</v>
      </c>
      <c r="I752" s="35" t="str">
        <f>VLOOKUP(Tableau65[[#This Row],[Utilisateur]],Tableau3[[Prenoms (ID)]:[Localisation]],3,FALSE)</f>
        <v>BNI1</v>
      </c>
      <c r="J752" s="35">
        <f>VLOOKUP(Tableau65[[#This Row],[Utilisateur]],Tableau3[[Prenoms (ID)]:[CABINET]],4,FALSE)</f>
        <v>0</v>
      </c>
    </row>
    <row r="753" spans="1:13" x14ac:dyDescent="0.25">
      <c r="A753" s="2">
        <v>45756</v>
      </c>
      <c r="B753" t="s">
        <v>52</v>
      </c>
      <c r="C753" s="6">
        <v>1</v>
      </c>
      <c r="D753" t="s">
        <v>49</v>
      </c>
      <c r="G753" t="s">
        <v>367</v>
      </c>
      <c r="H753" s="35" t="str">
        <f>VLOOKUP(Tableau65[[#This Row],[Utilisateur]],Tableau3[[Prenoms (ID)]:[Localisation]],2,FALSE)</f>
        <v>RECCI / Njato Be</v>
      </c>
      <c r="I753" s="35" t="str">
        <f>VLOOKUP(Tableau65[[#This Row],[Utilisateur]],Tableau3[[Prenoms (ID)]:[Localisation]],3,FALSE)</f>
        <v>BNI2</v>
      </c>
      <c r="J753" s="35">
        <f>VLOOKUP(Tableau65[[#This Row],[Utilisateur]],Tableau3[[Prenoms (ID)]:[CABINET]],4,FALSE)</f>
        <v>0</v>
      </c>
    </row>
    <row r="754" spans="1:13" x14ac:dyDescent="0.25">
      <c r="A754" s="2">
        <v>45761</v>
      </c>
      <c r="B754" t="s">
        <v>84</v>
      </c>
      <c r="C754" s="6">
        <v>1</v>
      </c>
      <c r="D754" t="s">
        <v>49</v>
      </c>
      <c r="G754" t="s">
        <v>639</v>
      </c>
      <c r="H754" s="35" t="str">
        <f>VLOOKUP(Tableau65[[#This Row],[Utilisateur]],Tableau3[[Prenoms (ID)]:[Localisation]],2,FALSE)</f>
        <v>Apprenti</v>
      </c>
      <c r="I754" s="35" t="str">
        <f>VLOOKUP(Tableau65[[#This Row],[Utilisateur]],Tableau3[[Prenoms (ID)]:[Localisation]],3,FALSE)</f>
        <v>BIRA</v>
      </c>
      <c r="J754" s="35" t="str">
        <f>VLOOKUP(Tableau65[[#This Row],[Utilisateur]],Tableau3[[Prenoms (ID)]:[CABINET]],4,FALSE)</f>
        <v>CPA</v>
      </c>
    </row>
    <row r="755" spans="1:13" x14ac:dyDescent="0.25">
      <c r="A755" s="2">
        <v>45761</v>
      </c>
      <c r="B755" t="s">
        <v>52</v>
      </c>
      <c r="C755" s="6">
        <v>1</v>
      </c>
      <c r="D755" t="s">
        <v>49</v>
      </c>
      <c r="G755" t="s">
        <v>637</v>
      </c>
      <c r="H755" s="35" t="str">
        <f>VLOOKUP(Tableau65[[#This Row],[Utilisateur]],Tableau3[[Prenoms (ID)]:[Localisation]],2,FALSE)</f>
        <v>Apprenti</v>
      </c>
      <c r="I755" s="35" t="str">
        <f>VLOOKUP(Tableau65[[#This Row],[Utilisateur]],Tableau3[[Prenoms (ID)]:[Localisation]],3,FALSE)</f>
        <v>BIRA</v>
      </c>
      <c r="J755" s="35" t="str">
        <f>VLOOKUP(Tableau65[[#This Row],[Utilisateur]],Tableau3[[Prenoms (ID)]:[CABINET]],4,FALSE)</f>
        <v>CPA</v>
      </c>
    </row>
    <row r="756" spans="1:13" x14ac:dyDescent="0.25">
      <c r="A756" s="2">
        <v>45628</v>
      </c>
      <c r="B756" t="s">
        <v>24</v>
      </c>
      <c r="C756" s="6">
        <v>1</v>
      </c>
      <c r="D756" t="s">
        <v>49</v>
      </c>
      <c r="G756" t="s">
        <v>537</v>
      </c>
      <c r="H756" t="str">
        <f>VLOOKUP(Tableau65[[#This Row],[Utilisateur]],Tableau3[[Prenoms (ID)]:[Localisation]],2,FALSE)</f>
        <v>QUALITE</v>
      </c>
      <c r="I756" t="str">
        <f>VLOOKUP(Tableau65[[#This Row],[Utilisateur]],Tableau3[[Prenoms (ID)]:[Localisation]],3,FALSE)</f>
        <v>DIRECTION</v>
      </c>
      <c r="J756" t="str">
        <f>VLOOKUP(Tableau65[[#This Row],[Utilisateur]],Tableau3[[Prenoms (ID)]:[CABINET]],4,FALSE)</f>
        <v>CPA</v>
      </c>
    </row>
    <row r="757" spans="1:13" x14ac:dyDescent="0.25">
      <c r="A757" s="50">
        <v>45645</v>
      </c>
      <c r="B757" t="s">
        <v>24</v>
      </c>
      <c r="C757" s="6">
        <v>1</v>
      </c>
      <c r="D757" t="s">
        <v>49</v>
      </c>
      <c r="G757" t="s">
        <v>339</v>
      </c>
      <c r="H757" t="str">
        <f>VLOOKUP(Tableau65[[#This Row],[Utilisateur]],Tableau3[[Prenoms (ID)]:[Localisation]],2,FALSE)</f>
        <v>Accefi</v>
      </c>
      <c r="I757" t="str">
        <f>VLOOKUP(Tableau65[[#This Row],[Utilisateur]],Tableau3[[Prenoms (ID)]:[Localisation]],3,FALSE)</f>
        <v>ACCEFI</v>
      </c>
      <c r="J757" t="str">
        <f>VLOOKUP(Tableau65[[#This Row],[Utilisateur]],Tableau3[[Prenoms (ID)]:[CABINET]],4,FALSE)</f>
        <v>CPA</v>
      </c>
    </row>
    <row r="758" spans="1:13" x14ac:dyDescent="0.25">
      <c r="A758" s="2">
        <v>45693</v>
      </c>
      <c r="B758" t="s">
        <v>24</v>
      </c>
      <c r="C758" s="6">
        <v>1</v>
      </c>
      <c r="D758" t="s">
        <v>49</v>
      </c>
      <c r="G758" t="s">
        <v>628</v>
      </c>
      <c r="H758" s="35" t="str">
        <f>VLOOKUP(Tableau65[[#This Row],[Utilisateur]],Tableau3[[Prenoms (ID)]:[Localisation]],2,FALSE)</f>
        <v>AUDIT-CPA</v>
      </c>
      <c r="I758" s="35">
        <f>VLOOKUP(Tableau65[[#This Row],[Utilisateur]],Tableau3[[Prenoms (ID)]:[Localisation]],3,FALSE)</f>
        <v>0</v>
      </c>
      <c r="J758" s="35">
        <f>VLOOKUP(Tableau65[[#This Row],[Utilisateur]],Tableau3[[Prenoms (ID)]:[CABINET]],4,FALSE)</f>
        <v>0</v>
      </c>
    </row>
    <row r="759" spans="1:13" x14ac:dyDescent="0.25">
      <c r="A759" s="2">
        <v>45708</v>
      </c>
      <c r="B759" t="s">
        <v>24</v>
      </c>
      <c r="C759" s="6">
        <v>1</v>
      </c>
      <c r="D759" t="s">
        <v>49</v>
      </c>
      <c r="G759" t="s">
        <v>640</v>
      </c>
      <c r="H759" s="35" t="str">
        <f>VLOOKUP(Tableau65[[#This Row],[Utilisateur]],Tableau3[[Prenoms (ID)]:[Localisation]],2,FALSE)</f>
        <v>AF</v>
      </c>
      <c r="I759" s="35" t="str">
        <f>VLOOKUP(Tableau65[[#This Row],[Utilisateur]],Tableau3[[Prenoms (ID)]:[Localisation]],3,FALSE)</f>
        <v>COMPTASTAR</v>
      </c>
      <c r="J759" s="35">
        <f>VLOOKUP(Tableau65[[#This Row],[Utilisateur]],Tableau3[[Prenoms (ID)]:[CABINET]],4,FALSE)</f>
        <v>0</v>
      </c>
    </row>
    <row r="760" spans="1:13" x14ac:dyDescent="0.25">
      <c r="A760" s="2">
        <v>45715</v>
      </c>
      <c r="B760" t="s">
        <v>24</v>
      </c>
      <c r="C760" s="6">
        <v>1</v>
      </c>
      <c r="D760" t="s">
        <v>49</v>
      </c>
      <c r="E760" t="s">
        <v>69</v>
      </c>
      <c r="G760" t="s">
        <v>68</v>
      </c>
      <c r="H760" t="str">
        <f>VLOOKUP(Tableau65[[#This Row],[Utilisateur]],Tableau3[[Prenoms (ID)]:[Localisation]],2,FALSE)</f>
        <v>Administration</v>
      </c>
      <c r="I760">
        <f>VLOOKUP(Tableau65[[#This Row],[Utilisateur]],Tableau3[[Prenoms (ID)]:[Localisation]],3,FALSE)</f>
        <v>0</v>
      </c>
      <c r="J760">
        <f>VLOOKUP(Tableau65[[#This Row],[Utilisateur]],Tableau3[[Prenoms (ID)]:[CABINET]],4,FALSE)</f>
        <v>0</v>
      </c>
      <c r="M760" t="s">
        <v>69</v>
      </c>
    </row>
    <row r="761" spans="1:13" x14ac:dyDescent="0.25">
      <c r="A761" s="2">
        <v>45716</v>
      </c>
      <c r="B761" t="s">
        <v>24</v>
      </c>
      <c r="C761" s="6">
        <v>1</v>
      </c>
      <c r="D761" t="s">
        <v>49</v>
      </c>
      <c r="E761" t="s">
        <v>641</v>
      </c>
      <c r="G761" t="s">
        <v>245</v>
      </c>
      <c r="H761" s="35">
        <f>VLOOKUP(Tableau65[[#This Row],[Utilisateur]],Tableau3[[Prenoms (ID)]:[Localisation]],2,FALSE)</f>
        <v>0</v>
      </c>
      <c r="I761" s="35" t="str">
        <f>VLOOKUP(Tableau65[[#This Row],[Utilisateur]],Tableau3[[Prenoms (ID)]:[Localisation]],3,FALSE)</f>
        <v>Matura</v>
      </c>
      <c r="J761" s="35">
        <f>VLOOKUP(Tableau65[[#This Row],[Utilisateur]],Tableau3[[Prenoms (ID)]:[CABINET]],4,FALSE)</f>
        <v>0</v>
      </c>
    </row>
    <row r="762" spans="1:13" x14ac:dyDescent="0.25">
      <c r="A762" s="2">
        <v>45726</v>
      </c>
      <c r="B762" t="s">
        <v>24</v>
      </c>
      <c r="C762" s="6">
        <v>1</v>
      </c>
      <c r="D762" t="s">
        <v>49</v>
      </c>
      <c r="G762" t="s">
        <v>527</v>
      </c>
      <c r="H762" s="35" t="str">
        <f>VLOOKUP(Tableau65[[#This Row],[Utilisateur]],Tableau3[[Prenoms (ID)]:[Localisation]],2,FALSE)</f>
        <v>Accefi</v>
      </c>
      <c r="I762" s="35" t="str">
        <f>VLOOKUP(Tableau65[[#This Row],[Utilisateur]],Tableau3[[Prenoms (ID)]:[Localisation]],3,FALSE)</f>
        <v>ACCEFI</v>
      </c>
      <c r="J762" s="35" t="str">
        <f>VLOOKUP(Tableau65[[#This Row],[Utilisateur]],Tableau3[[Prenoms (ID)]:[CABINET]],4,FALSE)</f>
        <v>CPA</v>
      </c>
    </row>
    <row r="763" spans="1:13" x14ac:dyDescent="0.25">
      <c r="A763" s="2">
        <v>45485</v>
      </c>
      <c r="B763" t="s">
        <v>82</v>
      </c>
      <c r="C763" s="6">
        <v>1</v>
      </c>
      <c r="D763" t="s">
        <v>49</v>
      </c>
      <c r="G763" s="62" t="s">
        <v>642</v>
      </c>
      <c r="H763" t="str">
        <f>VLOOKUP(Tableau65[[#This Row],[Utilisateur]],Tableau3[[Prenoms (ID)]:[Localisation]],2,FALSE)</f>
        <v>Optique / Sata</v>
      </c>
      <c r="I763" t="str">
        <f>VLOOKUP(Tableau65[[#This Row],[Utilisateur]],Tableau3[[Prenoms (ID)]:[Localisation]],3,FALSE)</f>
        <v>BNI1</v>
      </c>
      <c r="J763">
        <f>VLOOKUP(Tableau65[[#This Row],[Utilisateur]],Tableau3[[Prenoms (ID)]:[CABINET]],4,FALSE)</f>
        <v>0</v>
      </c>
    </row>
    <row r="764" spans="1:13" x14ac:dyDescent="0.25">
      <c r="A764" s="2">
        <v>45642</v>
      </c>
      <c r="B764" t="s">
        <v>82</v>
      </c>
      <c r="C764" s="6">
        <v>1</v>
      </c>
      <c r="D764" t="s">
        <v>49</v>
      </c>
      <c r="E764" t="s">
        <v>643</v>
      </c>
      <c r="G764" s="62" t="s">
        <v>348</v>
      </c>
      <c r="H764" t="str">
        <f>VLOOKUP(Tableau65[[#This Row],[Utilisateur]],Tableau3[[Prenoms (ID)]:[Localisation]],2,FALSE)</f>
        <v>Cecca rueil</v>
      </c>
      <c r="I764" t="str">
        <f>VLOOKUP(Tableau65[[#This Row],[Utilisateur]],Tableau3[[Prenoms (ID)]:[Localisation]],3,FALSE)</f>
        <v>BNI1</v>
      </c>
      <c r="J764">
        <f>VLOOKUP(Tableau65[[#This Row],[Utilisateur]],Tableau3[[Prenoms (ID)]:[CABINET]],4,FALSE)</f>
        <v>0</v>
      </c>
    </row>
    <row r="765" spans="1:13" x14ac:dyDescent="0.25">
      <c r="A765" s="2">
        <v>45642</v>
      </c>
      <c r="B765" t="s">
        <v>82</v>
      </c>
      <c r="C765" s="6">
        <v>1</v>
      </c>
      <c r="D765" t="s">
        <v>49</v>
      </c>
      <c r="G765" s="62" t="s">
        <v>549</v>
      </c>
      <c r="H765" t="str">
        <f>VLOOKUP(Tableau65[[#This Row],[Utilisateur]],Tableau3[[Prenoms (ID)]:[Localisation]],2,FALSE)</f>
        <v>RECCI SAV</v>
      </c>
      <c r="I765" t="str">
        <f>VLOOKUP(Tableau65[[#This Row],[Utilisateur]],Tableau3[[Prenoms (ID)]:[Localisation]],3,FALSE)</f>
        <v>BNI2</v>
      </c>
      <c r="J765">
        <f>VLOOKUP(Tableau65[[#This Row],[Utilisateur]],Tableau3[[Prenoms (ID)]:[CABINET]],4,FALSE)</f>
        <v>0</v>
      </c>
    </row>
    <row r="766" spans="1:13" x14ac:dyDescent="0.25">
      <c r="A766" s="2">
        <v>45681</v>
      </c>
      <c r="B766" t="s">
        <v>82</v>
      </c>
      <c r="C766" s="6">
        <v>1</v>
      </c>
      <c r="D766" t="s">
        <v>49</v>
      </c>
      <c r="G766" s="62" t="s">
        <v>348</v>
      </c>
      <c r="H766" t="str">
        <f>VLOOKUP(Tableau65[[#This Row],[Utilisateur]],Tableau3[[Prenoms (ID)]:[Localisation]],2,FALSE)</f>
        <v>Cecca rueil</v>
      </c>
      <c r="I766" t="str">
        <f>VLOOKUP(Tableau65[[#This Row],[Utilisateur]],Tableau3[[Prenoms (ID)]:[Localisation]],3,FALSE)</f>
        <v>BNI1</v>
      </c>
      <c r="J766">
        <f>VLOOKUP(Tableau65[[#This Row],[Utilisateur]],Tableau3[[Prenoms (ID)]:[CABINET]],4,FALSE)</f>
        <v>0</v>
      </c>
    </row>
    <row r="767" spans="1:13" x14ac:dyDescent="0.25">
      <c r="A767" s="2">
        <v>45769</v>
      </c>
      <c r="B767" t="s">
        <v>24</v>
      </c>
      <c r="C767" s="6">
        <v>1</v>
      </c>
      <c r="D767" t="s">
        <v>49</v>
      </c>
      <c r="G767" t="s">
        <v>644</v>
      </c>
      <c r="H767" s="35" t="str">
        <f>VLOOKUP(Tableau65[[#This Row],[Utilisateur]],Tableau3[[Prenoms (ID)]:[Localisation]],2,FALSE)</f>
        <v>-</v>
      </c>
      <c r="I767" s="35" t="str">
        <f>VLOOKUP(Tableau65[[#This Row],[Utilisateur]],Tableau3[[Prenoms (ID)]:[Localisation]],3,FALSE)</f>
        <v>BIRA</v>
      </c>
      <c r="J767" s="35" t="str">
        <f>VLOOKUP(Tableau65[[#This Row],[Utilisateur]],Tableau3[[Prenoms (ID)]:[CABINET]],4,FALSE)</f>
        <v>CPA</v>
      </c>
    </row>
    <row r="768" spans="1:13" x14ac:dyDescent="0.25">
      <c r="A768" s="2">
        <v>45769</v>
      </c>
      <c r="B768" t="s">
        <v>54</v>
      </c>
      <c r="C768" s="6">
        <v>1</v>
      </c>
      <c r="D768" t="s">
        <v>49</v>
      </c>
      <c r="G768" t="s">
        <v>611</v>
      </c>
      <c r="H768" s="35" t="str">
        <f>VLOOKUP(Tableau65[[#This Row],[Utilisateur]],Tableau3[[Prenoms (ID)]:[Localisation]],2,FALSE)</f>
        <v>Apprenti</v>
      </c>
      <c r="I768" s="35" t="str">
        <f>VLOOKUP(Tableau65[[#This Row],[Utilisateur]],Tableau3[[Prenoms (ID)]:[Localisation]],3,FALSE)</f>
        <v>BIRA</v>
      </c>
      <c r="J768" s="35" t="str">
        <f>VLOOKUP(Tableau65[[#This Row],[Utilisateur]],Tableau3[[Prenoms (ID)]:[CABINET]],4,FALSE)</f>
        <v>CPA</v>
      </c>
    </row>
    <row r="769" spans="1:10" x14ac:dyDescent="0.25">
      <c r="A769" s="2">
        <v>45769</v>
      </c>
      <c r="B769" t="s">
        <v>52</v>
      </c>
      <c r="C769" s="6">
        <v>1</v>
      </c>
      <c r="D769" t="s">
        <v>49</v>
      </c>
      <c r="G769" t="s">
        <v>496</v>
      </c>
      <c r="H769" s="35" t="str">
        <f>VLOOKUP(Tableau65[[#This Row],[Utilisateur]],Tableau3[[Prenoms (ID)]:[Localisation]],2,FALSE)</f>
        <v>RECCI / Njato Be</v>
      </c>
      <c r="I769" s="35" t="str">
        <f>VLOOKUP(Tableau65[[#This Row],[Utilisateur]],Tableau3[[Prenoms (ID)]:[Localisation]],3,FALSE)</f>
        <v>BNI2</v>
      </c>
      <c r="J769" s="35">
        <f>VLOOKUP(Tableau65[[#This Row],[Utilisateur]],Tableau3[[Prenoms (ID)]:[CABINET]],4,FALSE)</f>
        <v>0</v>
      </c>
    </row>
    <row r="770" spans="1:10" x14ac:dyDescent="0.25">
      <c r="A770" s="2">
        <v>45769</v>
      </c>
      <c r="B770" t="s">
        <v>52</v>
      </c>
      <c r="C770" s="6">
        <v>1</v>
      </c>
      <c r="D770" t="s">
        <v>49</v>
      </c>
      <c r="G770" t="s">
        <v>645</v>
      </c>
      <c r="H770" s="35" t="str">
        <f>VLOOKUP(Tableau65[[#This Row],[Utilisateur]],Tableau3[[Prenoms (ID)]:[Localisation]],2,FALSE)</f>
        <v>Optique / Sata</v>
      </c>
      <c r="I770" s="35" t="str">
        <f>VLOOKUP(Tableau65[[#This Row],[Utilisateur]],Tableau3[[Prenoms (ID)]:[Localisation]],3,FALSE)</f>
        <v>BNI1</v>
      </c>
      <c r="J770" s="35">
        <f>VLOOKUP(Tableau65[[#This Row],[Utilisateur]],Tableau3[[Prenoms (ID)]:[CABINET]],4,FALSE)</f>
        <v>0</v>
      </c>
    </row>
    <row r="771" spans="1:10" x14ac:dyDescent="0.25">
      <c r="A771" s="2">
        <v>45769</v>
      </c>
      <c r="B771" t="s">
        <v>52</v>
      </c>
      <c r="C771" s="6">
        <v>1</v>
      </c>
      <c r="D771" t="s">
        <v>49</v>
      </c>
      <c r="G771" t="s">
        <v>642</v>
      </c>
      <c r="H771" s="35" t="str">
        <f>VLOOKUP(Tableau65[[#This Row],[Utilisateur]],Tableau3[[Prenoms (ID)]:[Localisation]],2,FALSE)</f>
        <v>Optique / Sata</v>
      </c>
      <c r="I771" s="35" t="str">
        <f>VLOOKUP(Tableau65[[#This Row],[Utilisateur]],Tableau3[[Prenoms (ID)]:[Localisation]],3,FALSE)</f>
        <v>BNI1</v>
      </c>
      <c r="J771" s="35">
        <f>VLOOKUP(Tableau65[[#This Row],[Utilisateur]],Tableau3[[Prenoms (ID)]:[CABINET]],4,FALSE)</f>
        <v>0</v>
      </c>
    </row>
    <row r="772" spans="1:10" x14ac:dyDescent="0.25">
      <c r="A772" s="2">
        <v>45678</v>
      </c>
      <c r="B772" t="s">
        <v>264</v>
      </c>
      <c r="C772" s="6">
        <v>1</v>
      </c>
      <c r="D772" t="s">
        <v>49</v>
      </c>
      <c r="E772" t="s">
        <v>89</v>
      </c>
      <c r="G772" t="s">
        <v>265</v>
      </c>
      <c r="H772" s="35" t="str">
        <f>VLOOKUP(Tableau65[[#This Row],[Utilisateur]],Tableau3[[Prenoms (ID)]:[Localisation]],2,FALSE)</f>
        <v>Admin</v>
      </c>
      <c r="I772" s="35" t="str">
        <f>VLOOKUP(Tableau65[[#This Row],[Utilisateur]],Tableau3[[Prenoms (ID)]:[Localisation]],3,FALSE)</f>
        <v>BIRA</v>
      </c>
      <c r="J772" s="35" t="str">
        <f>VLOOKUP(Tableau65[[#This Row],[Utilisateur]],Tableau3[[Prenoms (ID)]:[CABINET]],4,FALSE)</f>
        <v>CPA</v>
      </c>
    </row>
    <row r="773" spans="1:10" x14ac:dyDescent="0.25">
      <c r="A773" s="2">
        <v>44683</v>
      </c>
      <c r="B773" t="s">
        <v>266</v>
      </c>
      <c r="C773" s="6">
        <v>1</v>
      </c>
      <c r="D773" t="s">
        <v>49</v>
      </c>
      <c r="E773" t="s">
        <v>89</v>
      </c>
      <c r="G773" t="s">
        <v>265</v>
      </c>
      <c r="H773" s="35" t="str">
        <f>VLOOKUP(Tableau65[[#This Row],[Utilisateur]],Tableau3[[Prenoms (ID)]:[Localisation]],2,FALSE)</f>
        <v>Admin</v>
      </c>
      <c r="I773" s="35" t="str">
        <f>VLOOKUP(Tableau65[[#This Row],[Utilisateur]],Tableau3[[Prenoms (ID)]:[Localisation]],3,FALSE)</f>
        <v>BIRA</v>
      </c>
      <c r="J773" s="35" t="str">
        <f>VLOOKUP(Tableau65[[#This Row],[Utilisateur]],Tableau3[[Prenoms (ID)]:[CABINET]],4,FALSE)</f>
        <v>CPA</v>
      </c>
    </row>
    <row r="774" spans="1:10" x14ac:dyDescent="0.25">
      <c r="A774" s="2">
        <v>44683</v>
      </c>
      <c r="B774" t="s">
        <v>267</v>
      </c>
      <c r="C774" s="6">
        <v>1</v>
      </c>
      <c r="D774" t="s">
        <v>49</v>
      </c>
      <c r="E774" t="s">
        <v>646</v>
      </c>
      <c r="G774" t="s">
        <v>265</v>
      </c>
      <c r="H774" s="35" t="str">
        <f>VLOOKUP(Tableau65[[#This Row],[Utilisateur]],Tableau3[[Prenoms (ID)]:[Localisation]],2,FALSE)</f>
        <v>Admin</v>
      </c>
      <c r="I774" s="35" t="str">
        <f>VLOOKUP(Tableau65[[#This Row],[Utilisateur]],Tableau3[[Prenoms (ID)]:[Localisation]],3,FALSE)</f>
        <v>BIRA</v>
      </c>
      <c r="J774" s="35" t="str">
        <f>VLOOKUP(Tableau65[[#This Row],[Utilisateur]],Tableau3[[Prenoms (ID)]:[CABINET]],4,FALSE)</f>
        <v>CPA</v>
      </c>
    </row>
    <row r="775" spans="1:10" x14ac:dyDescent="0.25">
      <c r="A775" s="2">
        <v>45771</v>
      </c>
      <c r="B775" t="s">
        <v>24</v>
      </c>
      <c r="C775" s="6">
        <v>1</v>
      </c>
      <c r="D775" t="s">
        <v>49</v>
      </c>
      <c r="G775" t="s">
        <v>336</v>
      </c>
      <c r="H775" s="35" t="str">
        <f>VLOOKUP(Tableau65[[#This Row],[Utilisateur]],Tableau3[[Prenoms (ID)]:[Localisation]],2,FALSE)</f>
        <v>PROGEXION</v>
      </c>
      <c r="I775" s="35" t="str">
        <f>VLOOKUP(Tableau65[[#This Row],[Utilisateur]],Tableau3[[Prenoms (ID)]:[Localisation]],3,FALSE)</f>
        <v>ARSAC</v>
      </c>
      <c r="J775" s="35">
        <f>VLOOKUP(Tableau65[[#This Row],[Utilisateur]],Tableau3[[Prenoms (ID)]:[CABINET]],4,FALSE)</f>
        <v>0</v>
      </c>
    </row>
    <row r="776" spans="1:10" x14ac:dyDescent="0.25">
      <c r="A776" s="2">
        <v>45779</v>
      </c>
      <c r="B776" t="s">
        <v>52</v>
      </c>
      <c r="C776" s="6">
        <v>1</v>
      </c>
      <c r="D776" t="s">
        <v>49</v>
      </c>
      <c r="E776" t="s">
        <v>647</v>
      </c>
      <c r="H776" s="35" t="e">
        <f>VLOOKUP(Tableau65[[#This Row],[Utilisateur]],Tableau3[[Prenoms (ID)]:[Localisation]],2,FALSE)</f>
        <v>#N/A</v>
      </c>
      <c r="I776" s="35" t="e">
        <f>VLOOKUP(Tableau65[[#This Row],[Utilisateur]],Tableau3[[Prenoms (ID)]:[Localisation]],3,FALSE)</f>
        <v>#N/A</v>
      </c>
      <c r="J776" s="35" t="e">
        <f>VLOOKUP(Tableau65[[#This Row],[Utilisateur]],Tableau3[[Prenoms (ID)]:[CABINET]],4,FALSE)</f>
        <v>#N/A</v>
      </c>
    </row>
    <row r="777" spans="1:10" x14ac:dyDescent="0.25">
      <c r="A777" s="2">
        <v>45785</v>
      </c>
      <c r="B777" t="s">
        <v>52</v>
      </c>
      <c r="C777" s="6">
        <v>1</v>
      </c>
      <c r="D777" t="s">
        <v>49</v>
      </c>
      <c r="G777" t="s">
        <v>648</v>
      </c>
      <c r="H777" s="35" t="str">
        <f>VLOOKUP(Tableau65[[#This Row],[Utilisateur]],Tableau3[[Prenoms (ID)]:[Localisation]],2,FALSE)</f>
        <v>Eccentive</v>
      </c>
      <c r="I777" s="35" t="str">
        <f>VLOOKUP(Tableau65[[#This Row],[Utilisateur]],Tableau3[[Prenoms (ID)]:[Localisation]],3,FALSE)</f>
        <v>ECCENTIVE</v>
      </c>
      <c r="J777" s="35">
        <f>VLOOKUP(Tableau65[[#This Row],[Utilisateur]],Tableau3[[Prenoms (ID)]:[CABINET]],4,FALSE)</f>
        <v>0</v>
      </c>
    </row>
    <row r="778" spans="1:10" x14ac:dyDescent="0.25">
      <c r="A778" s="2">
        <v>45789</v>
      </c>
      <c r="B778" t="s">
        <v>58</v>
      </c>
      <c r="C778" s="6">
        <v>1</v>
      </c>
      <c r="D778" t="s">
        <v>49</v>
      </c>
      <c r="G778" t="s">
        <v>649</v>
      </c>
      <c r="H778" s="35" t="str">
        <f>VLOOKUP(Tableau65[[#This Row],[Utilisateur]],Tableau3[[Prenoms (ID)]:[Localisation]],2,FALSE)</f>
        <v>Juridique</v>
      </c>
      <c r="I778" s="35" t="str">
        <f>VLOOKUP(Tableau65[[#This Row],[Utilisateur]],Tableau3[[Prenoms (ID)]:[Localisation]],3,FALSE)</f>
        <v>BNI2</v>
      </c>
      <c r="J778" s="35">
        <f>VLOOKUP(Tableau65[[#This Row],[Utilisateur]],Tableau3[[Prenoms (ID)]:[CABINET]],4,FALSE)</f>
        <v>0</v>
      </c>
    </row>
    <row r="779" spans="1:10" x14ac:dyDescent="0.25">
      <c r="A779" s="2">
        <v>45789</v>
      </c>
      <c r="B779" t="s">
        <v>60</v>
      </c>
      <c r="C779" s="6">
        <v>1</v>
      </c>
      <c r="D779" t="s">
        <v>49</v>
      </c>
      <c r="E779" t="s">
        <v>650</v>
      </c>
      <c r="G779" t="s">
        <v>444</v>
      </c>
      <c r="H779" s="35" t="str">
        <f>VLOOKUP(Tableau65[[#This Row],[Utilisateur]],Tableau3[[Prenoms (ID)]:[Localisation]],2,FALSE)</f>
        <v>Audit CPA</v>
      </c>
      <c r="I779" s="35" t="str">
        <f>VLOOKUP(Tableau65[[#This Row],[Utilisateur]],Tableau3[[Prenoms (ID)]:[Localisation]],3,FALSE)</f>
        <v>AUDIT-CPA</v>
      </c>
      <c r="J779" s="35" t="str">
        <f>VLOOKUP(Tableau65[[#This Row],[Utilisateur]],Tableau3[[Prenoms (ID)]:[CABINET]],4,FALSE)</f>
        <v>CPA</v>
      </c>
    </row>
    <row r="780" spans="1:10" x14ac:dyDescent="0.25">
      <c r="A780" s="2">
        <v>45789</v>
      </c>
      <c r="B780" t="s">
        <v>52</v>
      </c>
      <c r="C780" s="6">
        <v>1</v>
      </c>
      <c r="D780" t="s">
        <v>49</v>
      </c>
      <c r="G780" t="s">
        <v>539</v>
      </c>
      <c r="H780" s="35" t="str">
        <f>VLOOKUP(Tableau65[[#This Row],[Utilisateur]],Tableau3[[Prenoms (ID)]:[Localisation]],2,FALSE)</f>
        <v>Optique / Sata</v>
      </c>
      <c r="I780" s="35" t="str">
        <f>VLOOKUP(Tableau65[[#This Row],[Utilisateur]],Tableau3[[Prenoms (ID)]:[Localisation]],3,FALSE)</f>
        <v>BNI1</v>
      </c>
      <c r="J780" s="35">
        <f>VLOOKUP(Tableau65[[#This Row],[Utilisateur]],Tableau3[[Prenoms (ID)]:[CABINET]],4,FALSE)</f>
        <v>0</v>
      </c>
    </row>
    <row r="781" spans="1:10" x14ac:dyDescent="0.25">
      <c r="A781" s="2">
        <v>45790</v>
      </c>
      <c r="B781" t="s">
        <v>52</v>
      </c>
      <c r="C781" s="6">
        <v>1</v>
      </c>
      <c r="D781" t="s">
        <v>49</v>
      </c>
      <c r="G781" t="s">
        <v>651</v>
      </c>
      <c r="H781" s="35" t="str">
        <f>VLOOKUP(Tableau65[[#This Row],[Utilisateur]],Tableau3[[Prenoms (ID)]:[Localisation]],2,FALSE)</f>
        <v>RECCI / Lalaina</v>
      </c>
      <c r="I781" s="35" t="str">
        <f>VLOOKUP(Tableau65[[#This Row],[Utilisateur]],Tableau3[[Prenoms (ID)]:[Localisation]],3,FALSE)</f>
        <v>BNI2</v>
      </c>
      <c r="J781" s="35">
        <f>VLOOKUP(Tableau65[[#This Row],[Utilisateur]],Tableau3[[Prenoms (ID)]:[CABINET]],4,FALSE)</f>
        <v>0</v>
      </c>
    </row>
    <row r="782" spans="1:10" x14ac:dyDescent="0.25">
      <c r="A782" s="2">
        <v>45790</v>
      </c>
      <c r="B782" t="s">
        <v>52</v>
      </c>
      <c r="C782" s="6">
        <v>1</v>
      </c>
      <c r="D782" t="s">
        <v>49</v>
      </c>
      <c r="G782" t="s">
        <v>335</v>
      </c>
      <c r="H782" s="35" t="str">
        <f>VLOOKUP(Tableau65[[#This Row],[Utilisateur]],Tableau3[[Prenoms (ID)]:[Localisation]],2,FALSE)</f>
        <v>Admin</v>
      </c>
      <c r="I782" s="35" t="str">
        <f>VLOOKUP(Tableau65[[#This Row],[Utilisateur]],Tableau3[[Prenoms (ID)]:[Localisation]],3,FALSE)</f>
        <v>DIRECTION</v>
      </c>
      <c r="J782" s="35">
        <f>VLOOKUP(Tableau65[[#This Row],[Utilisateur]],Tableau3[[Prenoms (ID)]:[CABINET]],4,FALSE)</f>
        <v>0</v>
      </c>
    </row>
    <row r="783" spans="1:10" x14ac:dyDescent="0.25">
      <c r="A783" s="2">
        <v>45790</v>
      </c>
      <c r="B783" t="s">
        <v>52</v>
      </c>
      <c r="C783" s="6">
        <v>1</v>
      </c>
      <c r="D783" t="s">
        <v>49</v>
      </c>
      <c r="G783" t="s">
        <v>547</v>
      </c>
      <c r="H783" s="35" t="str">
        <f>VLOOKUP(Tableau65[[#This Row],[Utilisateur]],Tableau3[[Prenoms (ID)]:[Localisation]],2,FALSE)</f>
        <v>Accefi</v>
      </c>
      <c r="I783" s="35" t="str">
        <f>VLOOKUP(Tableau65[[#This Row],[Utilisateur]],Tableau3[[Prenoms (ID)]:[Localisation]],3,FALSE)</f>
        <v>ACCEFI</v>
      </c>
      <c r="J783" s="35">
        <f>VLOOKUP(Tableau65[[#This Row],[Utilisateur]],Tableau3[[Prenoms (ID)]:[CABINET]],4,FALSE)</f>
        <v>0</v>
      </c>
    </row>
    <row r="784" spans="1:10" x14ac:dyDescent="0.25">
      <c r="A784" s="2">
        <v>45791</v>
      </c>
      <c r="B784" t="s">
        <v>52</v>
      </c>
      <c r="C784" s="6">
        <v>1</v>
      </c>
      <c r="D784" t="s">
        <v>49</v>
      </c>
      <c r="G784" t="s">
        <v>635</v>
      </c>
      <c r="H784" s="35" t="str">
        <f>VLOOKUP(Tableau65[[#This Row],[Utilisateur]],Tableau3[[Prenoms (ID)]:[Localisation]],2,FALSE)</f>
        <v>Apprenti</v>
      </c>
      <c r="I784" s="35" t="str">
        <f>VLOOKUP(Tableau65[[#This Row],[Utilisateur]],Tableau3[[Prenoms (ID)]:[Localisation]],3,FALSE)</f>
        <v>-</v>
      </c>
      <c r="J784" s="35">
        <f>VLOOKUP(Tableau65[[#This Row],[Utilisateur]],Tableau3[[Prenoms (ID)]:[CABINET]],4,FALSE)</f>
        <v>0</v>
      </c>
    </row>
    <row r="785" spans="1:10" x14ac:dyDescent="0.25">
      <c r="A785" s="2">
        <v>45792</v>
      </c>
      <c r="B785" t="s">
        <v>64</v>
      </c>
      <c r="C785" s="6">
        <v>1</v>
      </c>
      <c r="D785" t="s">
        <v>49</v>
      </c>
      <c r="G785" t="s">
        <v>652</v>
      </c>
      <c r="H785" s="35" t="str">
        <f>VLOOKUP(Tableau65[[#This Row],[Utilisateur]],Tableau3[[Prenoms (ID)]:[Localisation]],2,FALSE)</f>
        <v>-</v>
      </c>
      <c r="I785" s="35" t="str">
        <f>VLOOKUP(Tableau65[[#This Row],[Utilisateur]],Tableau3[[Prenoms (ID)]:[Localisation]],3,FALSE)</f>
        <v>BIRA</v>
      </c>
      <c r="J785" s="35" t="str">
        <f>VLOOKUP(Tableau65[[#This Row],[Utilisateur]],Tableau3[[Prenoms (ID)]:[CABINET]],4,FALSE)</f>
        <v>CPA</v>
      </c>
    </row>
    <row r="786" spans="1:10" x14ac:dyDescent="0.25">
      <c r="A786" s="2">
        <v>45797</v>
      </c>
      <c r="B786" t="s">
        <v>58</v>
      </c>
      <c r="C786" s="6">
        <v>1</v>
      </c>
      <c r="D786" t="s">
        <v>49</v>
      </c>
      <c r="G786" t="s">
        <v>653</v>
      </c>
      <c r="H786" s="35" t="str">
        <f>VLOOKUP(Tableau65[[#This Row],[Utilisateur]],Tableau3[[Prenoms (ID)]:[Localisation]],2,FALSE)</f>
        <v>Paie</v>
      </c>
      <c r="I786" s="35" t="str">
        <f>VLOOKUP(Tableau65[[#This Row],[Utilisateur]],Tableau3[[Prenoms (ID)]:[Localisation]],3,FALSE)</f>
        <v>SOCIAL</v>
      </c>
      <c r="J786" s="35">
        <f>VLOOKUP(Tableau65[[#This Row],[Utilisateur]],Tableau3[[Prenoms (ID)]:[CABINET]],4,FALSE)</f>
        <v>0</v>
      </c>
    </row>
    <row r="787" spans="1:10" x14ac:dyDescent="0.25">
      <c r="A787" s="2">
        <v>45797</v>
      </c>
      <c r="B787" t="s">
        <v>84</v>
      </c>
      <c r="C787" s="6">
        <v>1</v>
      </c>
      <c r="D787" t="s">
        <v>49</v>
      </c>
      <c r="G787" t="s">
        <v>653</v>
      </c>
      <c r="H787" s="35" t="str">
        <f>VLOOKUP(Tableau65[[#This Row],[Utilisateur]],Tableau3[[Prenoms (ID)]:[Localisation]],2,FALSE)</f>
        <v>Paie</v>
      </c>
      <c r="I787" s="35" t="str">
        <f>VLOOKUP(Tableau65[[#This Row],[Utilisateur]],Tableau3[[Prenoms (ID)]:[Localisation]],3,FALSE)</f>
        <v>SOCIAL</v>
      </c>
      <c r="J787" s="35">
        <f>VLOOKUP(Tableau65[[#This Row],[Utilisateur]],Tableau3[[Prenoms (ID)]:[CABINET]],4,FALSE)</f>
        <v>0</v>
      </c>
    </row>
    <row r="788" spans="1:10" x14ac:dyDescent="0.25">
      <c r="A788" s="2">
        <v>45797</v>
      </c>
      <c r="B788" t="s">
        <v>24</v>
      </c>
      <c r="C788" s="6">
        <v>1</v>
      </c>
      <c r="D788" t="s">
        <v>49</v>
      </c>
      <c r="G788" t="s">
        <v>346</v>
      </c>
      <c r="H788" s="35" t="str">
        <f>VLOOKUP(Tableau65[[#This Row],[Utilisateur]],Tableau3[[Prenoms (ID)]:[Localisation]],2,FALSE)</f>
        <v>Optique / Sata</v>
      </c>
      <c r="I788" s="35" t="str">
        <f>VLOOKUP(Tableau65[[#This Row],[Utilisateur]],Tableau3[[Prenoms (ID)]:[Localisation]],3,FALSE)</f>
        <v>BNI1</v>
      </c>
      <c r="J788" s="35">
        <f>VLOOKUP(Tableau65[[#This Row],[Utilisateur]],Tableau3[[Prenoms (ID)]:[CABINET]],4,FALSE)</f>
        <v>0</v>
      </c>
    </row>
    <row r="789" spans="1:10" x14ac:dyDescent="0.25">
      <c r="A789" s="2">
        <v>45797</v>
      </c>
      <c r="B789" t="s">
        <v>268</v>
      </c>
      <c r="C789" s="6">
        <v>1</v>
      </c>
      <c r="D789" t="s">
        <v>49</v>
      </c>
      <c r="G789" t="s">
        <v>531</v>
      </c>
      <c r="H789" s="35" t="str">
        <f>VLOOKUP(Tableau65[[#This Row],[Utilisateur]],Tableau3[[Prenoms (ID)]:[Localisation]],2,FALSE)</f>
        <v>Accefi</v>
      </c>
      <c r="I789" s="35" t="str">
        <f>VLOOKUP(Tableau65[[#This Row],[Utilisateur]],Tableau3[[Prenoms (ID)]:[Localisation]],3,FALSE)</f>
        <v>ACCEFI</v>
      </c>
      <c r="J789" s="35" t="str">
        <f>VLOOKUP(Tableau65[[#This Row],[Utilisateur]],Tableau3[[Prenoms (ID)]:[CABINET]],4,FALSE)</f>
        <v>CPA</v>
      </c>
    </row>
    <row r="790" spans="1:10" x14ac:dyDescent="0.25">
      <c r="A790" s="2">
        <v>45798</v>
      </c>
      <c r="B790" t="s">
        <v>52</v>
      </c>
      <c r="C790" s="6">
        <v>1</v>
      </c>
      <c r="D790" t="s">
        <v>49</v>
      </c>
      <c r="G790" t="s">
        <v>476</v>
      </c>
      <c r="H790" s="35" t="str">
        <f>VLOOKUP(Tableau65[[#This Row],[Utilisateur]],Tableau3[[Prenoms (ID)]:[Localisation]],2,FALSE)</f>
        <v>Audit CPA</v>
      </c>
      <c r="I790" s="35" t="str">
        <f>VLOOKUP(Tableau65[[#This Row],[Utilisateur]],Tableau3[[Prenoms (ID)]:[Localisation]],3,FALSE)</f>
        <v>AUDIT-CPA</v>
      </c>
      <c r="J790" s="35" t="str">
        <f>VLOOKUP(Tableau65[[#This Row],[Utilisateur]],Tableau3[[Prenoms (ID)]:[CABINET]],4,FALSE)</f>
        <v>CPA</v>
      </c>
    </row>
    <row r="791" spans="1:10" x14ac:dyDescent="0.25">
      <c r="A791" s="2">
        <v>45798</v>
      </c>
      <c r="B791" t="s">
        <v>52</v>
      </c>
      <c r="C791" s="6">
        <v>1</v>
      </c>
      <c r="D791" t="s">
        <v>49</v>
      </c>
      <c r="G791" t="s">
        <v>378</v>
      </c>
      <c r="H791" s="35" t="str">
        <f>VLOOKUP(Tableau65[[#This Row],[Utilisateur]],Tableau3[[Prenoms (ID)]:[Localisation]],2,FALSE)</f>
        <v>Audit CPA</v>
      </c>
      <c r="I791" s="35" t="str">
        <f>VLOOKUP(Tableau65[[#This Row],[Utilisateur]],Tableau3[[Prenoms (ID)]:[Localisation]],3,FALSE)</f>
        <v>AUDIT-CPA</v>
      </c>
      <c r="J791" s="35" t="str">
        <f>VLOOKUP(Tableau65[[#This Row],[Utilisateur]],Tableau3[[Prenoms (ID)]:[CABINET]],4,FALSE)</f>
        <v>CPA</v>
      </c>
    </row>
    <row r="792" spans="1:10" x14ac:dyDescent="0.25">
      <c r="A792" s="2">
        <v>45730</v>
      </c>
      <c r="B792" t="s">
        <v>34</v>
      </c>
      <c r="C792" s="6">
        <v>1</v>
      </c>
      <c r="D792" t="s">
        <v>49</v>
      </c>
      <c r="G792" t="s">
        <v>354</v>
      </c>
      <c r="H792" s="35" t="str">
        <f>VLOOKUP(Tableau65[[#This Row],[Utilisateur]],Tableau3[[Prenoms (ID)]:[Localisation]],2,FALSE)</f>
        <v>RECCI / Lalaina</v>
      </c>
      <c r="I792" s="35" t="str">
        <f>VLOOKUP(Tableau65[[#This Row],[Utilisateur]],Tableau3[[Prenoms (ID)]:[Localisation]],3,FALSE)</f>
        <v>BNI2</v>
      </c>
      <c r="J792" s="35">
        <f>VLOOKUP(Tableau65[[#This Row],[Utilisateur]],Tableau3[[Prenoms (ID)]:[CABINET]],4,FALSE)</f>
        <v>0</v>
      </c>
    </row>
    <row r="793" spans="1:10" x14ac:dyDescent="0.25">
      <c r="A793" s="2">
        <v>45730</v>
      </c>
      <c r="B793" t="s">
        <v>34</v>
      </c>
      <c r="C793" s="6">
        <v>1</v>
      </c>
      <c r="D793" t="s">
        <v>49</v>
      </c>
      <c r="G793" t="s">
        <v>479</v>
      </c>
      <c r="H793" s="35" t="str">
        <f>VLOOKUP(Tableau65[[#This Row],[Utilisateur]],Tableau3[[Prenoms (ID)]:[Localisation]],2,FALSE)</f>
        <v>Juridique</v>
      </c>
      <c r="I793" s="35" t="str">
        <f>VLOOKUP(Tableau65[[#This Row],[Utilisateur]],Tableau3[[Prenoms (ID)]:[Localisation]],3,FALSE)</f>
        <v>BNI2</v>
      </c>
      <c r="J793" s="35">
        <f>VLOOKUP(Tableau65[[#This Row],[Utilisateur]],Tableau3[[Prenoms (ID)]:[CABINET]],4,FALSE)</f>
        <v>0</v>
      </c>
    </row>
    <row r="794" spans="1:10" x14ac:dyDescent="0.25">
      <c r="A794" s="2">
        <v>45730</v>
      </c>
      <c r="B794" t="s">
        <v>34</v>
      </c>
      <c r="C794" s="6">
        <v>1</v>
      </c>
      <c r="D794" t="s">
        <v>49</v>
      </c>
      <c r="G794" t="s">
        <v>348</v>
      </c>
      <c r="H794" s="35" t="str">
        <f>VLOOKUP(Tableau65[[#This Row],[Utilisateur]],Tableau3[[Prenoms (ID)]:[Localisation]],2,FALSE)</f>
        <v>Cecca rueil</v>
      </c>
      <c r="I794" s="35" t="str">
        <f>VLOOKUP(Tableau65[[#This Row],[Utilisateur]],Tableau3[[Prenoms (ID)]:[Localisation]],3,FALSE)</f>
        <v>BNI1</v>
      </c>
      <c r="J794" s="35">
        <f>VLOOKUP(Tableau65[[#This Row],[Utilisateur]],Tableau3[[Prenoms (ID)]:[CABINET]],4,FALSE)</f>
        <v>0</v>
      </c>
    </row>
    <row r="795" spans="1:10" x14ac:dyDescent="0.25">
      <c r="A795" s="2">
        <v>45730</v>
      </c>
      <c r="B795" t="s">
        <v>34</v>
      </c>
      <c r="C795" s="6">
        <v>1</v>
      </c>
      <c r="D795" t="s">
        <v>49</v>
      </c>
      <c r="G795" t="s">
        <v>382</v>
      </c>
      <c r="H795" s="35" t="str">
        <f>VLOOKUP(Tableau65[[#This Row],[Utilisateur]],Tableau3[[Prenoms (ID)]:[Localisation]],2,FALSE)</f>
        <v>Cecca rueil</v>
      </c>
      <c r="I795" s="35" t="str">
        <f>VLOOKUP(Tableau65[[#This Row],[Utilisateur]],Tableau3[[Prenoms (ID)]:[Localisation]],3,FALSE)</f>
        <v>BNI1</v>
      </c>
      <c r="J795" s="35">
        <f>VLOOKUP(Tableau65[[#This Row],[Utilisateur]],Tableau3[[Prenoms (ID)]:[CABINET]],4,FALSE)</f>
        <v>0</v>
      </c>
    </row>
    <row r="796" spans="1:10" x14ac:dyDescent="0.25">
      <c r="A796" s="2">
        <v>45786</v>
      </c>
      <c r="B796" t="s">
        <v>271</v>
      </c>
      <c r="C796" s="6">
        <v>1</v>
      </c>
      <c r="D796" t="s">
        <v>49</v>
      </c>
      <c r="G796" t="s">
        <v>370</v>
      </c>
      <c r="H796" s="35" t="str">
        <f>VLOOKUP(Tableau65[[#This Row],[Utilisateur]],Tableau3[[Prenoms (ID)]:[Localisation]],2,FALSE)</f>
        <v>Paie</v>
      </c>
      <c r="I796" s="35" t="str">
        <f>VLOOKUP(Tableau65[[#This Row],[Utilisateur]],Tableau3[[Prenoms (ID)]:[Localisation]],3,FALSE)</f>
        <v>SOCIAL</v>
      </c>
      <c r="J796" s="35">
        <f>VLOOKUP(Tableau65[[#This Row],[Utilisateur]],Tableau3[[Prenoms (ID)]:[CABINET]],4,FALSE)</f>
        <v>0</v>
      </c>
    </row>
    <row r="797" spans="1:10" x14ac:dyDescent="0.25">
      <c r="A797" s="2">
        <v>45786</v>
      </c>
      <c r="B797" t="s">
        <v>271</v>
      </c>
      <c r="C797" s="6">
        <v>1</v>
      </c>
      <c r="D797" t="s">
        <v>49</v>
      </c>
      <c r="G797" t="s">
        <v>615</v>
      </c>
      <c r="H797" s="35" t="str">
        <f>VLOOKUP(Tableau65[[#This Row],[Utilisateur]],Tableau3[[Prenoms (ID)]:[Localisation]],2,FALSE)</f>
        <v>COMPTASTAR</v>
      </c>
      <c r="I797" s="35" t="str">
        <f>VLOOKUP(Tableau65[[#This Row],[Utilisateur]],Tableau3[[Prenoms (ID)]:[Localisation]],3,FALSE)</f>
        <v>COMPTASTAR</v>
      </c>
      <c r="J797" s="35" t="str">
        <f>VLOOKUP(Tableau65[[#This Row],[Utilisateur]],Tableau3[[Prenoms (ID)]:[CABINET]],4,FALSE)</f>
        <v>CPA</v>
      </c>
    </row>
    <row r="798" spans="1:10" x14ac:dyDescent="0.25">
      <c r="A798" s="2">
        <v>45786</v>
      </c>
      <c r="B798" t="s">
        <v>271</v>
      </c>
      <c r="C798" s="6">
        <v>1</v>
      </c>
      <c r="D798" t="s">
        <v>49</v>
      </c>
      <c r="G798" t="s">
        <v>654</v>
      </c>
      <c r="H798" s="35">
        <f>VLOOKUP(Tableau65[[#This Row],[Utilisateur]],Tableau3[[Prenoms (ID)]:[Localisation]],2,FALSE)</f>
        <v>0</v>
      </c>
      <c r="I798" s="35" t="str">
        <f>VLOOKUP(Tableau65[[#This Row],[Utilisateur]],Tableau3[[Prenoms (ID)]:[Localisation]],3,FALSE)</f>
        <v>BNI</v>
      </c>
      <c r="J798" s="35">
        <f>VLOOKUP(Tableau65[[#This Row],[Utilisateur]],Tableau3[[Prenoms (ID)]:[CABINET]],4,FALSE)</f>
        <v>0</v>
      </c>
    </row>
    <row r="799" spans="1:10" x14ac:dyDescent="0.25">
      <c r="A799" s="2">
        <v>45793</v>
      </c>
      <c r="B799" t="s">
        <v>22</v>
      </c>
      <c r="C799" s="6">
        <v>1</v>
      </c>
      <c r="D799" t="s">
        <v>49</v>
      </c>
      <c r="G799" t="s">
        <v>87</v>
      </c>
      <c r="H799" s="35" t="str">
        <f>VLOOKUP(Tableau65[[#This Row],[Utilisateur]],Tableau3[[Prenoms (ID)]:[Localisation]],2,FALSE)</f>
        <v>Accefi</v>
      </c>
      <c r="I799" s="35" t="str">
        <f>VLOOKUP(Tableau65[[#This Row],[Utilisateur]],Tableau3[[Prenoms (ID)]:[Localisation]],3,FALSE)</f>
        <v>ACCEFI</v>
      </c>
      <c r="J799" s="35" t="str">
        <f>VLOOKUP(Tableau65[[#This Row],[Utilisateur]],Tableau3[[Prenoms (ID)]:[CABINET]],4,FALSE)</f>
        <v>CPA</v>
      </c>
    </row>
    <row r="800" spans="1:10" x14ac:dyDescent="0.25">
      <c r="A800" s="2">
        <v>45793</v>
      </c>
      <c r="B800" t="s">
        <v>22</v>
      </c>
      <c r="C800" s="6">
        <v>1</v>
      </c>
      <c r="D800" t="s">
        <v>49</v>
      </c>
      <c r="G800" t="s">
        <v>531</v>
      </c>
      <c r="H800" s="35" t="str">
        <f>VLOOKUP(Tableau65[[#This Row],[Utilisateur]],Tableau3[[Prenoms (ID)]:[Localisation]],2,FALSE)</f>
        <v>Accefi</v>
      </c>
      <c r="I800" s="35" t="str">
        <f>VLOOKUP(Tableau65[[#This Row],[Utilisateur]],Tableau3[[Prenoms (ID)]:[Localisation]],3,FALSE)</f>
        <v>ACCEFI</v>
      </c>
      <c r="J800" s="35" t="str">
        <f>VLOOKUP(Tableau65[[#This Row],[Utilisateur]],Tableau3[[Prenoms (ID)]:[CABINET]],4,FALSE)</f>
        <v>CPA</v>
      </c>
    </row>
    <row r="801" spans="1:10" x14ac:dyDescent="0.25">
      <c r="A801" s="2">
        <v>45793</v>
      </c>
      <c r="B801" t="s">
        <v>274</v>
      </c>
      <c r="C801" s="6">
        <v>1</v>
      </c>
      <c r="D801" t="s">
        <v>49</v>
      </c>
      <c r="G801" t="s">
        <v>489</v>
      </c>
      <c r="H801" s="35" t="str">
        <f>VLOOKUP(Tableau65[[#This Row],[Utilisateur]],Tableau3[[Prenoms (ID)]:[Localisation]],2,FALSE)</f>
        <v>Optique / Sata</v>
      </c>
      <c r="I801" s="35" t="str">
        <f>VLOOKUP(Tableau65[[#This Row],[Utilisateur]],Tableau3[[Prenoms (ID)]:[Localisation]],3,FALSE)</f>
        <v>BNI1</v>
      </c>
      <c r="J801" s="35">
        <f>VLOOKUP(Tableau65[[#This Row],[Utilisateur]],Tableau3[[Prenoms (ID)]:[CABINET]],4,FALSE)</f>
        <v>0</v>
      </c>
    </row>
    <row r="802" spans="1:10" x14ac:dyDescent="0.25">
      <c r="A802" s="2">
        <v>45793</v>
      </c>
      <c r="B802" t="s">
        <v>274</v>
      </c>
      <c r="C802" s="6">
        <v>1</v>
      </c>
      <c r="D802" t="s">
        <v>49</v>
      </c>
      <c r="G802" t="s">
        <v>498</v>
      </c>
      <c r="H802" s="35" t="str">
        <f>VLOOKUP(Tableau65[[#This Row],[Utilisateur]],Tableau3[[Prenoms (ID)]:[Localisation]],2,FALSE)</f>
        <v>Optique / Mirado</v>
      </c>
      <c r="I802" s="35" t="str">
        <f>VLOOKUP(Tableau65[[#This Row],[Utilisateur]],Tableau3[[Prenoms (ID)]:[Localisation]],3,FALSE)</f>
        <v>BNI1</v>
      </c>
      <c r="J802" s="35">
        <f>VLOOKUP(Tableau65[[#This Row],[Utilisateur]],Tableau3[[Prenoms (ID)]:[CABINET]],4,FALSE)</f>
        <v>0</v>
      </c>
    </row>
    <row r="803" spans="1:10" x14ac:dyDescent="0.25">
      <c r="A803" s="2">
        <v>45793</v>
      </c>
      <c r="B803" t="s">
        <v>274</v>
      </c>
      <c r="C803" s="6">
        <v>1</v>
      </c>
      <c r="D803" t="s">
        <v>49</v>
      </c>
      <c r="G803" t="s">
        <v>548</v>
      </c>
      <c r="H803" s="35" t="str">
        <f>VLOOKUP(Tableau65[[#This Row],[Utilisateur]],Tableau3[[Prenoms (ID)]:[Localisation]],2,FALSE)</f>
        <v>Cecca rueil</v>
      </c>
      <c r="I803" s="35" t="str">
        <f>VLOOKUP(Tableau65[[#This Row],[Utilisateur]],Tableau3[[Prenoms (ID)]:[Localisation]],3,FALSE)</f>
        <v>BNI1</v>
      </c>
      <c r="J803" s="35">
        <f>VLOOKUP(Tableau65[[#This Row],[Utilisateur]],Tableau3[[Prenoms (ID)]:[CABINET]],4,FALSE)</f>
        <v>0</v>
      </c>
    </row>
    <row r="804" spans="1:10" x14ac:dyDescent="0.25">
      <c r="A804" s="2">
        <v>45775</v>
      </c>
      <c r="B804" t="s">
        <v>34</v>
      </c>
      <c r="C804" s="6">
        <v>1</v>
      </c>
      <c r="D804" t="s">
        <v>49</v>
      </c>
      <c r="G804" t="s">
        <v>327</v>
      </c>
      <c r="H804" s="35" t="str">
        <f>VLOOKUP(Tableau65[[#This Row],[Utilisateur]],Tableau3[[Prenoms (ID)]:[Localisation]],2,FALSE)</f>
        <v>Accefi</v>
      </c>
      <c r="I804" s="35" t="str">
        <f>VLOOKUP(Tableau65[[#This Row],[Utilisateur]],Tableau3[[Prenoms (ID)]:[Localisation]],3,FALSE)</f>
        <v>ACCEFI</v>
      </c>
      <c r="J804" s="35" t="str">
        <f>VLOOKUP(Tableau65[[#This Row],[Utilisateur]],Tableau3[[Prenoms (ID)]:[CABINET]],4,FALSE)</f>
        <v>CPA</v>
      </c>
    </row>
    <row r="805" spans="1:10" x14ac:dyDescent="0.25">
      <c r="A805" s="2">
        <v>45775</v>
      </c>
      <c r="B805" t="s">
        <v>34</v>
      </c>
      <c r="C805" s="6">
        <v>1</v>
      </c>
      <c r="D805" t="s">
        <v>49</v>
      </c>
      <c r="G805" t="s">
        <v>536</v>
      </c>
      <c r="H805" s="35" t="str">
        <f>VLOOKUP(Tableau65[[#This Row],[Utilisateur]],Tableau3[[Prenoms (ID)]:[Localisation]],2,FALSE)</f>
        <v>Accefi</v>
      </c>
      <c r="I805" s="35" t="str">
        <f>VLOOKUP(Tableau65[[#This Row],[Utilisateur]],Tableau3[[Prenoms (ID)]:[Localisation]],3,FALSE)</f>
        <v>ACCEFI</v>
      </c>
      <c r="J805" s="35" t="str">
        <f>VLOOKUP(Tableau65[[#This Row],[Utilisateur]],Tableau3[[Prenoms (ID)]:[CABINET]],4,FALSE)</f>
        <v>CPA</v>
      </c>
    </row>
    <row r="806" spans="1:10" x14ac:dyDescent="0.25">
      <c r="A806" s="2">
        <v>45793</v>
      </c>
      <c r="B806" t="s">
        <v>274</v>
      </c>
      <c r="C806" s="6">
        <v>1</v>
      </c>
      <c r="D806" t="s">
        <v>49</v>
      </c>
      <c r="G806" t="s">
        <v>546</v>
      </c>
      <c r="H806" s="35" t="str">
        <f>VLOOKUP(Tableau65[[#This Row],[Utilisateur]],Tableau3[[Prenoms (ID)]:[Localisation]],2,FALSE)</f>
        <v>Audit CPA</v>
      </c>
      <c r="I806" s="35" t="str">
        <f>VLOOKUP(Tableau65[[#This Row],[Utilisateur]],Tableau3[[Prenoms (ID)]:[Localisation]],3,FALSE)</f>
        <v>AUDIT-CPA</v>
      </c>
      <c r="J806" s="35" t="str">
        <f>VLOOKUP(Tableau65[[#This Row],[Utilisateur]],Tableau3[[Prenoms (ID)]:[CABINET]],4,FALSE)</f>
        <v>CPA</v>
      </c>
    </row>
    <row r="807" spans="1:10" x14ac:dyDescent="0.25">
      <c r="A807" s="2">
        <v>45800</v>
      </c>
      <c r="B807" t="s">
        <v>52</v>
      </c>
      <c r="C807" s="6">
        <v>1</v>
      </c>
      <c r="D807" t="s">
        <v>49</v>
      </c>
      <c r="G807" t="s">
        <v>380</v>
      </c>
      <c r="H807" s="35" t="str">
        <f>VLOOKUP(Tableau65[[#This Row],[Utilisateur]],Tableau3[[Prenoms (ID)]:[Localisation]],2,FALSE)</f>
        <v>PROGEXION</v>
      </c>
      <c r="I807" s="35" t="str">
        <f>VLOOKUP(Tableau65[[#This Row],[Utilisateur]],Tableau3[[Prenoms (ID)]:[Localisation]],3,FALSE)</f>
        <v>ARSAC</v>
      </c>
      <c r="J807" s="35">
        <f>VLOOKUP(Tableau65[[#This Row],[Utilisateur]],Tableau3[[Prenoms (ID)]:[CABINET]],4,FALSE)</f>
        <v>0</v>
      </c>
    </row>
    <row r="808" spans="1:10" x14ac:dyDescent="0.25">
      <c r="A808" s="2">
        <v>45804</v>
      </c>
      <c r="B808" t="s">
        <v>24</v>
      </c>
      <c r="C808" s="6">
        <v>1</v>
      </c>
      <c r="D808" t="s">
        <v>49</v>
      </c>
      <c r="G808" t="s">
        <v>421</v>
      </c>
      <c r="H808" s="35" t="str">
        <f>VLOOKUP(Tableau65[[#This Row],[Utilisateur]],Tableau3[[Prenoms (ID)]:[Localisation]],2,FALSE)</f>
        <v>Info/Dev</v>
      </c>
      <c r="I808" s="35" t="str">
        <f>VLOOKUP(Tableau65[[#This Row],[Utilisateur]],Tableau3[[Prenoms (ID)]:[Localisation]],3,FALSE)</f>
        <v>Informatique</v>
      </c>
      <c r="J808" s="35">
        <f>VLOOKUP(Tableau65[[#This Row],[Utilisateur]],Tableau3[[Prenoms (ID)]:[CABINET]],4,FALSE)</f>
        <v>0</v>
      </c>
    </row>
    <row r="809" spans="1:10" x14ac:dyDescent="0.25">
      <c r="A809" s="2">
        <v>45810</v>
      </c>
      <c r="B809" t="s">
        <v>52</v>
      </c>
      <c r="C809" s="6">
        <v>1</v>
      </c>
      <c r="D809" t="s">
        <v>49</v>
      </c>
      <c r="G809" t="s">
        <v>265</v>
      </c>
      <c r="H809" s="35" t="str">
        <f>VLOOKUP(Tableau65[[#This Row],[Utilisateur]],Tableau3[[Prenoms (ID)]:[Localisation]],2,FALSE)</f>
        <v>Admin</v>
      </c>
      <c r="I809" s="35" t="str">
        <f>VLOOKUP(Tableau65[[#This Row],[Utilisateur]],Tableau3[[Prenoms (ID)]:[Localisation]],3,FALSE)</f>
        <v>BIRA</v>
      </c>
      <c r="J809" s="35" t="str">
        <f>VLOOKUP(Tableau65[[#This Row],[Utilisateur]],Tableau3[[Prenoms (ID)]:[CABINET]],4,FALSE)</f>
        <v>CPA</v>
      </c>
    </row>
    <row r="810" spans="1:10" x14ac:dyDescent="0.25">
      <c r="A810" s="2">
        <v>45810</v>
      </c>
      <c r="B810" t="s">
        <v>52</v>
      </c>
      <c r="C810" s="6">
        <v>1</v>
      </c>
      <c r="D810" t="s">
        <v>49</v>
      </c>
      <c r="G810" t="s">
        <v>479</v>
      </c>
      <c r="H810" s="35" t="str">
        <f>VLOOKUP(Tableau65[[#This Row],[Utilisateur]],Tableau3[[Prenoms (ID)]:[Localisation]],2,FALSE)</f>
        <v>Juridique</v>
      </c>
      <c r="I810" s="35" t="str">
        <f>VLOOKUP(Tableau65[[#This Row],[Utilisateur]],Tableau3[[Prenoms (ID)]:[Localisation]],3,FALSE)</f>
        <v>BNI2</v>
      </c>
      <c r="J810" s="35">
        <f>VLOOKUP(Tableau65[[#This Row],[Utilisateur]],Tableau3[[Prenoms (ID)]:[CABINET]],4,FALSE)</f>
        <v>0</v>
      </c>
    </row>
    <row r="811" spans="1:10" x14ac:dyDescent="0.25">
      <c r="A811" s="2">
        <v>45810</v>
      </c>
      <c r="B811" t="s">
        <v>52</v>
      </c>
      <c r="C811" s="6">
        <v>1</v>
      </c>
      <c r="D811" t="s">
        <v>49</v>
      </c>
      <c r="G811" t="s">
        <v>655</v>
      </c>
      <c r="H811" s="35" t="str">
        <f>VLOOKUP(Tableau65[[#This Row],[Utilisateur]],Tableau3[[Prenoms (ID)]:[Localisation]],2,FALSE)</f>
        <v>-</v>
      </c>
      <c r="I811" s="35" t="str">
        <f>VLOOKUP(Tableau65[[#This Row],[Utilisateur]],Tableau3[[Prenoms (ID)]:[Localisation]],3,FALSE)</f>
        <v>BIRA</v>
      </c>
      <c r="J811" s="35">
        <f>VLOOKUP(Tableau65[[#This Row],[Utilisateur]],Tableau3[[Prenoms (ID)]:[CABINET]],4,FALSE)</f>
        <v>0</v>
      </c>
    </row>
    <row r="812" spans="1:10" x14ac:dyDescent="0.25">
      <c r="A812" s="2">
        <v>45810</v>
      </c>
      <c r="B812" t="s">
        <v>52</v>
      </c>
      <c r="C812" s="6">
        <v>1</v>
      </c>
      <c r="D812" t="s">
        <v>49</v>
      </c>
      <c r="G812" t="s">
        <v>557</v>
      </c>
      <c r="H812" s="35" t="str">
        <f>VLOOKUP(Tableau65[[#This Row],[Utilisateur]],Tableau3[[Prenoms (ID)]:[Localisation]],2,FALSE)</f>
        <v>-</v>
      </c>
      <c r="I812" s="35" t="str">
        <f>VLOOKUP(Tableau65[[#This Row],[Utilisateur]],Tableau3[[Prenoms (ID)]:[Localisation]],3,FALSE)</f>
        <v>BIRA</v>
      </c>
      <c r="J812" s="35" t="str">
        <f>VLOOKUP(Tableau65[[#This Row],[Utilisateur]],Tableau3[[Prenoms (ID)]:[CABINET]],4,FALSE)</f>
        <v>CPA</v>
      </c>
    </row>
    <row r="813" spans="1:10" x14ac:dyDescent="0.25">
      <c r="A813" s="2">
        <v>45810</v>
      </c>
      <c r="B813" t="s">
        <v>34</v>
      </c>
      <c r="C813" s="6">
        <v>1</v>
      </c>
      <c r="D813" t="s">
        <v>49</v>
      </c>
      <c r="G813" t="s">
        <v>637</v>
      </c>
      <c r="H813" s="35" t="str">
        <f>VLOOKUP(Tableau65[[#This Row],[Utilisateur]],Tableau3[[Prenoms (ID)]:[Localisation]],2,FALSE)</f>
        <v>Apprenti</v>
      </c>
      <c r="I813" s="35" t="str">
        <f>VLOOKUP(Tableau65[[#This Row],[Utilisateur]],Tableau3[[Prenoms (ID)]:[Localisation]],3,FALSE)</f>
        <v>BIRA</v>
      </c>
      <c r="J813" s="35" t="str">
        <f>VLOOKUP(Tableau65[[#This Row],[Utilisateur]],Tableau3[[Prenoms (ID)]:[CABINET]],4,FALSE)</f>
        <v>CPA</v>
      </c>
    </row>
    <row r="814" spans="1:10" x14ac:dyDescent="0.25">
      <c r="A814" s="2">
        <v>45810</v>
      </c>
      <c r="B814" t="s">
        <v>52</v>
      </c>
      <c r="C814" s="6">
        <v>1</v>
      </c>
      <c r="D814" t="s">
        <v>49</v>
      </c>
      <c r="G814" t="s">
        <v>425</v>
      </c>
      <c r="H814" s="35" t="str">
        <f>VLOOKUP(Tableau65[[#This Row],[Utilisateur]],Tableau3[[Prenoms (ID)]:[Localisation]],2,FALSE)</f>
        <v>Accefi</v>
      </c>
      <c r="I814" s="35" t="str">
        <f>VLOOKUP(Tableau65[[#This Row],[Utilisateur]],Tableau3[[Prenoms (ID)]:[Localisation]],3,FALSE)</f>
        <v>ACCEFI</v>
      </c>
      <c r="J814" s="35" t="str">
        <f>VLOOKUP(Tableau65[[#This Row],[Utilisateur]],Tableau3[[Prenoms (ID)]:[CABINET]],4,FALSE)</f>
        <v>CPA</v>
      </c>
    </row>
    <row r="815" spans="1:10" x14ac:dyDescent="0.25">
      <c r="A815" s="2">
        <v>45811</v>
      </c>
      <c r="B815" t="s">
        <v>52</v>
      </c>
      <c r="C815" s="6">
        <v>1</v>
      </c>
      <c r="D815" t="s">
        <v>49</v>
      </c>
      <c r="G815" t="s">
        <v>656</v>
      </c>
      <c r="H815" s="35" t="str">
        <f>VLOOKUP(Tableau65[[#This Row],[Utilisateur]],Tableau3[[Prenoms (ID)]:[Localisation]],2,FALSE)</f>
        <v>Audit CPA</v>
      </c>
      <c r="I815" s="35" t="str">
        <f>VLOOKUP(Tableau65[[#This Row],[Utilisateur]],Tableau3[[Prenoms (ID)]:[Localisation]],3,FALSE)</f>
        <v>AUDIT-CPA</v>
      </c>
      <c r="J815" s="35" t="str">
        <f>VLOOKUP(Tableau65[[#This Row],[Utilisateur]],Tableau3[[Prenoms (ID)]:[CABINET]],4,FALSE)</f>
        <v>CPA</v>
      </c>
    </row>
    <row r="816" spans="1:10" x14ac:dyDescent="0.25">
      <c r="A816" s="2">
        <v>45811</v>
      </c>
      <c r="B816" t="s">
        <v>52</v>
      </c>
      <c r="C816" s="6">
        <v>1</v>
      </c>
      <c r="D816" t="s">
        <v>49</v>
      </c>
      <c r="G816" t="s">
        <v>485</v>
      </c>
      <c r="H816" s="35" t="str">
        <f>VLOOKUP(Tableau65[[#This Row],[Utilisateur]],Tableau3[[Prenoms (ID)]:[Localisation]],2,FALSE)</f>
        <v>Audit CPA</v>
      </c>
      <c r="I816" s="35" t="str">
        <f>VLOOKUP(Tableau65[[#This Row],[Utilisateur]],Tableau3[[Prenoms (ID)]:[Localisation]],3,FALSE)</f>
        <v>AUDIT-CPA</v>
      </c>
      <c r="J816" s="35" t="str">
        <f>VLOOKUP(Tableau65[[#This Row],[Utilisateur]],Tableau3[[Prenoms (ID)]:[CABINET]],4,FALSE)</f>
        <v>CPA</v>
      </c>
    </row>
    <row r="817" spans="1:10" x14ac:dyDescent="0.25">
      <c r="A817" s="2">
        <v>45811</v>
      </c>
      <c r="B817" t="s">
        <v>52</v>
      </c>
      <c r="C817" s="6">
        <v>1</v>
      </c>
      <c r="D817" t="s">
        <v>49</v>
      </c>
      <c r="E817" t="s">
        <v>657</v>
      </c>
      <c r="G817" t="s">
        <v>658</v>
      </c>
      <c r="H817" s="35" t="str">
        <f>VLOOKUP(Tableau65[[#This Row],[Utilisateur]],Tableau3[[Prenoms (ID)]:[Localisation]],2,FALSE)</f>
        <v>Audit CPA</v>
      </c>
      <c r="I817" s="35" t="str">
        <f>VLOOKUP(Tableau65[[#This Row],[Utilisateur]],Tableau3[[Prenoms (ID)]:[Localisation]],3,FALSE)</f>
        <v>Matura</v>
      </c>
      <c r="J817" s="35">
        <f>VLOOKUP(Tableau65[[#This Row],[Utilisateur]],Tableau3[[Prenoms (ID)]:[CABINET]],4,FALSE)</f>
        <v>0</v>
      </c>
    </row>
    <row r="818" spans="1:10" x14ac:dyDescent="0.25">
      <c r="A818" s="2">
        <v>45811</v>
      </c>
      <c r="B818" t="s">
        <v>52</v>
      </c>
      <c r="C818" s="6">
        <v>1</v>
      </c>
      <c r="D818" t="s">
        <v>49</v>
      </c>
      <c r="G818" t="s">
        <v>633</v>
      </c>
      <c r="H818" s="35" t="str">
        <f>VLOOKUP(Tableau65[[#This Row],[Utilisateur]],Tableau3[[Prenoms (ID)]:[Localisation]],2,FALSE)</f>
        <v>Audit CPA</v>
      </c>
      <c r="I818" s="35" t="str">
        <f>VLOOKUP(Tableau65[[#This Row],[Utilisateur]],Tableau3[[Prenoms (ID)]:[Localisation]],3,FALSE)</f>
        <v>MADAFIT</v>
      </c>
      <c r="J818" s="35" t="str">
        <f>VLOOKUP(Tableau65[[#This Row],[Utilisateur]],Tableau3[[Prenoms (ID)]:[CABINET]],4,FALSE)</f>
        <v>CPA</v>
      </c>
    </row>
    <row r="819" spans="1:10" x14ac:dyDescent="0.25">
      <c r="A819" s="2">
        <v>45811</v>
      </c>
      <c r="B819" t="s">
        <v>52</v>
      </c>
      <c r="C819" s="6">
        <v>1</v>
      </c>
      <c r="D819" t="s">
        <v>49</v>
      </c>
      <c r="G819" t="s">
        <v>659</v>
      </c>
      <c r="H819" s="35" t="str">
        <f>VLOOKUP(Tableau65[[#This Row],[Utilisateur]],Tableau3[[Prenoms (ID)]:[Localisation]],2,FALSE)</f>
        <v>-</v>
      </c>
      <c r="I819" s="35" t="str">
        <f>VLOOKUP(Tableau65[[#This Row],[Utilisateur]],Tableau3[[Prenoms (ID)]:[Localisation]],3,FALSE)</f>
        <v>BIRA</v>
      </c>
      <c r="J819" s="35" t="str">
        <f>VLOOKUP(Tableau65[[#This Row],[Utilisateur]],Tableau3[[Prenoms (ID)]:[CABINET]],4,FALSE)</f>
        <v>CPA</v>
      </c>
    </row>
    <row r="820" spans="1:10" x14ac:dyDescent="0.25">
      <c r="A820" s="2">
        <v>45812</v>
      </c>
      <c r="B820" t="s">
        <v>274</v>
      </c>
      <c r="C820" s="6">
        <v>1</v>
      </c>
      <c r="D820" t="s">
        <v>49</v>
      </c>
      <c r="G820" t="s">
        <v>265</v>
      </c>
      <c r="H820" s="35" t="str">
        <f>VLOOKUP(Tableau65[[#This Row],[Utilisateur]],Tableau3[[Prenoms (ID)]:[Localisation]],2,FALSE)</f>
        <v>Admin</v>
      </c>
      <c r="I820" s="35" t="str">
        <f>VLOOKUP(Tableau65[[#This Row],[Utilisateur]],Tableau3[[Prenoms (ID)]:[Localisation]],3,FALSE)</f>
        <v>BIRA</v>
      </c>
      <c r="J820" s="35" t="str">
        <f>VLOOKUP(Tableau65[[#This Row],[Utilisateur]],Tableau3[[Prenoms (ID)]:[CABINET]],4,FALSE)</f>
        <v>CPA</v>
      </c>
    </row>
    <row r="821" spans="1:10" x14ac:dyDescent="0.25">
      <c r="A821" s="2">
        <v>45818</v>
      </c>
      <c r="B821" t="s">
        <v>52</v>
      </c>
      <c r="C821" s="6">
        <v>1</v>
      </c>
      <c r="D821" t="s">
        <v>49</v>
      </c>
      <c r="G821" t="s">
        <v>515</v>
      </c>
      <c r="H821" s="35" t="str">
        <f>VLOOKUP(Tableau65[[#This Row],[Utilisateur]],Tableau3[[Prenoms (ID)]:[Localisation]],2,FALSE)</f>
        <v>Juridique</v>
      </c>
      <c r="I821" s="35" t="str">
        <f>VLOOKUP(Tableau65[[#This Row],[Utilisateur]],Tableau3[[Prenoms (ID)]:[Localisation]],3,FALSE)</f>
        <v>BNI2</v>
      </c>
      <c r="J821" s="35">
        <f>VLOOKUP(Tableau65[[#This Row],[Utilisateur]],Tableau3[[Prenoms (ID)]:[CABINET]],4,FALSE)</f>
        <v>0</v>
      </c>
    </row>
    <row r="822" spans="1:10" x14ac:dyDescent="0.25">
      <c r="A822" s="2">
        <v>45819</v>
      </c>
      <c r="B822" t="s">
        <v>52</v>
      </c>
      <c r="C822" s="6">
        <v>1</v>
      </c>
      <c r="D822" t="s">
        <v>49</v>
      </c>
      <c r="G822" t="s">
        <v>357</v>
      </c>
      <c r="H822" s="35" t="str">
        <f>VLOOKUP(Tableau65[[#This Row],[Utilisateur]],Tableau3[[Prenoms (ID)]:[Localisation]],2,FALSE)</f>
        <v>RECCI / Njato Be</v>
      </c>
      <c r="I822" s="35" t="str">
        <f>VLOOKUP(Tableau65[[#This Row],[Utilisateur]],Tableau3[[Prenoms (ID)]:[Localisation]],3,FALSE)</f>
        <v>BNI2</v>
      </c>
      <c r="J822" s="35">
        <f>VLOOKUP(Tableau65[[#This Row],[Utilisateur]],Tableau3[[Prenoms (ID)]:[CABINET]],4,FALSE)</f>
        <v>0</v>
      </c>
    </row>
    <row r="823" spans="1:10" x14ac:dyDescent="0.25">
      <c r="A823" s="2">
        <v>45820</v>
      </c>
      <c r="B823" t="s">
        <v>52</v>
      </c>
      <c r="C823" s="6">
        <v>1</v>
      </c>
      <c r="D823" t="s">
        <v>49</v>
      </c>
      <c r="G823" t="s">
        <v>523</v>
      </c>
      <c r="H823" s="35" t="str">
        <f>VLOOKUP(Tableau65[[#This Row],[Utilisateur]],Tableau3[[Prenoms (ID)]:[Localisation]],2,FALSE)</f>
        <v>PROGEXION</v>
      </c>
      <c r="I823" s="35" t="str">
        <f>VLOOKUP(Tableau65[[#This Row],[Utilisateur]],Tableau3[[Prenoms (ID)]:[Localisation]],3,FALSE)</f>
        <v>ARSAC</v>
      </c>
      <c r="J823" s="35">
        <f>VLOOKUP(Tableau65[[#This Row],[Utilisateur]],Tableau3[[Prenoms (ID)]:[CABINET]],4,FALSE)</f>
        <v>0</v>
      </c>
    </row>
    <row r="824" spans="1:10" x14ac:dyDescent="0.25">
      <c r="A824" s="2">
        <v>45821</v>
      </c>
      <c r="B824" t="s">
        <v>52</v>
      </c>
      <c r="C824" s="6">
        <v>1</v>
      </c>
      <c r="D824" t="s">
        <v>49</v>
      </c>
      <c r="G824" t="s">
        <v>594</v>
      </c>
      <c r="H824" s="35" t="str">
        <f>VLOOKUP(Tableau65[[#This Row],[Utilisateur]],Tableau3[[Prenoms (ID)]:[Localisation]],2,FALSE)</f>
        <v>Apprenti</v>
      </c>
      <c r="I824" s="35" t="str">
        <f>VLOOKUP(Tableau65[[#This Row],[Utilisateur]],Tableau3[[Prenoms (ID)]:[Localisation]],3,FALSE)</f>
        <v>BIRA</v>
      </c>
      <c r="J824" s="35">
        <f>VLOOKUP(Tableau65[[#This Row],[Utilisateur]],Tableau3[[Prenoms (ID)]:[CABINET]],4,FALSE)</f>
        <v>0</v>
      </c>
    </row>
    <row r="825" spans="1:10" x14ac:dyDescent="0.25">
      <c r="A825" s="2">
        <v>45821</v>
      </c>
      <c r="B825" t="s">
        <v>52</v>
      </c>
      <c r="C825" s="6">
        <v>1</v>
      </c>
      <c r="D825" t="s">
        <v>49</v>
      </c>
      <c r="G825" t="s">
        <v>502</v>
      </c>
      <c r="H825" s="35" t="str">
        <f>VLOOKUP(Tableau65[[#This Row],[Utilisateur]],Tableau3[[Prenoms (ID)]:[Localisation]],2,FALSE)</f>
        <v>Apprenti</v>
      </c>
      <c r="I825" s="35" t="str">
        <f>VLOOKUP(Tableau65[[#This Row],[Utilisateur]],Tableau3[[Prenoms (ID)]:[Localisation]],3,FALSE)</f>
        <v>BIRA</v>
      </c>
      <c r="J825" s="35">
        <f>VLOOKUP(Tableau65[[#This Row],[Utilisateur]],Tableau3[[Prenoms (ID)]:[CABINET]],4,FALSE)</f>
        <v>0</v>
      </c>
    </row>
    <row r="826" spans="1:10" x14ac:dyDescent="0.25">
      <c r="A826" s="2">
        <v>45821</v>
      </c>
      <c r="B826" t="s">
        <v>52</v>
      </c>
      <c r="C826" s="6">
        <v>1</v>
      </c>
      <c r="D826" t="s">
        <v>49</v>
      </c>
      <c r="G826" t="s">
        <v>536</v>
      </c>
      <c r="H826" s="35" t="str">
        <f>VLOOKUP(Tableau65[[#This Row],[Utilisateur]],Tableau3[[Prenoms (ID)]:[Localisation]],2,FALSE)</f>
        <v>Accefi</v>
      </c>
      <c r="I826" s="35" t="str">
        <f>VLOOKUP(Tableau65[[#This Row],[Utilisateur]],Tableau3[[Prenoms (ID)]:[Localisation]],3,FALSE)</f>
        <v>ACCEFI</v>
      </c>
      <c r="J826" s="35" t="str">
        <f>VLOOKUP(Tableau65[[#This Row],[Utilisateur]],Tableau3[[Prenoms (ID)]:[CABINET]],4,FALSE)</f>
        <v>CPA</v>
      </c>
    </row>
    <row r="827" spans="1:10" x14ac:dyDescent="0.25">
      <c r="A827" s="2">
        <v>45821</v>
      </c>
      <c r="B827" t="s">
        <v>82</v>
      </c>
      <c r="C827" s="6">
        <v>1</v>
      </c>
      <c r="D827" t="s">
        <v>49</v>
      </c>
      <c r="G827" t="s">
        <v>344</v>
      </c>
      <c r="H827" s="35" t="str">
        <f>VLOOKUP(Tableau65[[#This Row],[Utilisateur]],Tableau3[[Prenoms (ID)]:[Localisation]],2,FALSE)</f>
        <v>Impulsa</v>
      </c>
      <c r="I827" s="35" t="str">
        <f>VLOOKUP(Tableau65[[#This Row],[Utilisateur]],Tableau3[[Prenoms (ID)]:[Localisation]],3,FALSE)</f>
        <v>BNI2</v>
      </c>
      <c r="J827" s="35">
        <f>VLOOKUP(Tableau65[[#This Row],[Utilisateur]],Tableau3[[Prenoms (ID)]:[CABINET]],4,FALSE)</f>
        <v>0</v>
      </c>
    </row>
    <row r="828" spans="1:10" x14ac:dyDescent="0.25">
      <c r="A828" s="2">
        <v>45824</v>
      </c>
      <c r="B828" t="s">
        <v>25</v>
      </c>
      <c r="C828" s="6">
        <v>1</v>
      </c>
      <c r="D828" t="s">
        <v>49</v>
      </c>
      <c r="G828" t="s">
        <v>336</v>
      </c>
      <c r="H828" s="35" t="str">
        <f>VLOOKUP(Tableau65[[#This Row],[Utilisateur]],Tableau3[[Prenoms (ID)]:[Localisation]],2,FALSE)</f>
        <v>PROGEXION</v>
      </c>
      <c r="I828" s="35" t="str">
        <f>VLOOKUP(Tableau65[[#This Row],[Utilisateur]],Tableau3[[Prenoms (ID)]:[Localisation]],3,FALSE)</f>
        <v>ARSAC</v>
      </c>
      <c r="J828" s="35">
        <f>VLOOKUP(Tableau65[[#This Row],[Utilisateur]],Tableau3[[Prenoms (ID)]:[CABINET]],4,FALSE)</f>
        <v>0</v>
      </c>
    </row>
    <row r="829" spans="1:10" x14ac:dyDescent="0.25">
      <c r="A829" s="2">
        <v>45824</v>
      </c>
      <c r="B829" t="s">
        <v>52</v>
      </c>
      <c r="C829" s="6">
        <v>1</v>
      </c>
      <c r="D829" t="s">
        <v>49</v>
      </c>
      <c r="G829" t="s">
        <v>660</v>
      </c>
      <c r="H829" s="35" t="str">
        <f>VLOOKUP(Tableau65[[#This Row],[Utilisateur]],Tableau3[[Prenoms (ID)]:[Localisation]],2,FALSE)</f>
        <v>Juridique</v>
      </c>
      <c r="I829" s="35" t="str">
        <f>VLOOKUP(Tableau65[[#This Row],[Utilisateur]],Tableau3[[Prenoms (ID)]:[Localisation]],3,FALSE)</f>
        <v>BNI2</v>
      </c>
      <c r="J829" s="35">
        <f>VLOOKUP(Tableau65[[#This Row],[Utilisateur]],Tableau3[[Prenoms (ID)]:[CABINET]],4,FALSE)</f>
        <v>0</v>
      </c>
    </row>
    <row r="830" spans="1:10" x14ac:dyDescent="0.25">
      <c r="A830" s="2">
        <v>45824</v>
      </c>
      <c r="B830" t="s">
        <v>25</v>
      </c>
      <c r="C830" s="6">
        <v>1</v>
      </c>
      <c r="D830" t="s">
        <v>49</v>
      </c>
      <c r="G830" t="s">
        <v>612</v>
      </c>
      <c r="H830" s="35" t="str">
        <f>VLOOKUP(Tableau65[[#This Row],[Utilisateur]],Tableau3[[Prenoms (ID)]:[Localisation]],2,FALSE)</f>
        <v>Eccentive</v>
      </c>
      <c r="I830" s="35" t="str">
        <f>VLOOKUP(Tableau65[[#This Row],[Utilisateur]],Tableau3[[Prenoms (ID)]:[Localisation]],3,FALSE)</f>
        <v>ECCENTIVE</v>
      </c>
      <c r="J830" s="35">
        <f>VLOOKUP(Tableau65[[#This Row],[Utilisateur]],Tableau3[[Prenoms (ID)]:[CABINET]],4,FALSE)</f>
        <v>0</v>
      </c>
    </row>
    <row r="831" spans="1:10" x14ac:dyDescent="0.25">
      <c r="A831" s="2">
        <v>45824</v>
      </c>
      <c r="B831" t="s">
        <v>52</v>
      </c>
      <c r="C831" s="6">
        <v>1</v>
      </c>
      <c r="D831" t="s">
        <v>49</v>
      </c>
      <c r="G831" t="s">
        <v>316</v>
      </c>
      <c r="H831" s="35" t="str">
        <f>VLOOKUP(Tableau65[[#This Row],[Utilisateur]],Tableau3[[Prenoms (ID)]:[Localisation]],2,FALSE)</f>
        <v>Audit CPA</v>
      </c>
      <c r="I831" s="35" t="str">
        <f>VLOOKUP(Tableau65[[#This Row],[Utilisateur]],Tableau3[[Prenoms (ID)]:[Localisation]],3,FALSE)</f>
        <v>AUDIT-CPA</v>
      </c>
      <c r="J831" s="35" t="str">
        <f>VLOOKUP(Tableau65[[#This Row],[Utilisateur]],Tableau3[[Prenoms (ID)]:[CABINET]],4,FALSE)</f>
        <v>CPA</v>
      </c>
    </row>
    <row r="832" spans="1:10" x14ac:dyDescent="0.25">
      <c r="A832" s="2">
        <v>45824</v>
      </c>
      <c r="B832" t="s">
        <v>25</v>
      </c>
      <c r="C832" s="6">
        <v>1</v>
      </c>
      <c r="D832" t="s">
        <v>49</v>
      </c>
      <c r="G832" t="s">
        <v>574</v>
      </c>
      <c r="H832" s="35" t="str">
        <f>VLOOKUP(Tableau65[[#This Row],[Utilisateur]],Tableau3[[Prenoms (ID)]:[Localisation]],2,FALSE)</f>
        <v>Audit CPA</v>
      </c>
      <c r="I832" s="35" t="str">
        <f>VLOOKUP(Tableau65[[#This Row],[Utilisateur]],Tableau3[[Prenoms (ID)]:[Localisation]],3,FALSE)</f>
        <v>AUDIT-CPA</v>
      </c>
      <c r="J832" s="35" t="str">
        <f>VLOOKUP(Tableau65[[#This Row],[Utilisateur]],Tableau3[[Prenoms (ID)]:[CABINET]],4,FALSE)</f>
        <v>CPA</v>
      </c>
    </row>
    <row r="833" spans="1:10" x14ac:dyDescent="0.25">
      <c r="A833" s="2">
        <v>45825</v>
      </c>
      <c r="B833" t="s">
        <v>52</v>
      </c>
      <c r="C833" s="6">
        <v>1</v>
      </c>
      <c r="D833" t="s">
        <v>49</v>
      </c>
      <c r="G833" t="s">
        <v>507</v>
      </c>
      <c r="H833" s="35" t="str">
        <f>VLOOKUP(Tableau65[[#This Row],[Utilisateur]],Tableau3[[Prenoms (ID)]:[Localisation]],2,FALSE)</f>
        <v>Audit CPA</v>
      </c>
      <c r="I833" s="35" t="str">
        <f>VLOOKUP(Tableau65[[#This Row],[Utilisateur]],Tableau3[[Prenoms (ID)]:[Localisation]],3,FALSE)</f>
        <v>MADAFIT</v>
      </c>
      <c r="J833" s="35" t="str">
        <f>VLOOKUP(Tableau65[[#This Row],[Utilisateur]],Tableau3[[Prenoms (ID)]:[CABINET]],4,FALSE)</f>
        <v>CPA</v>
      </c>
    </row>
    <row r="834" spans="1:10" x14ac:dyDescent="0.25">
      <c r="A834" s="2">
        <v>45826</v>
      </c>
      <c r="B834" t="s">
        <v>52</v>
      </c>
      <c r="C834" s="6">
        <v>1</v>
      </c>
      <c r="D834" t="s">
        <v>49</v>
      </c>
      <c r="G834" t="s">
        <v>661</v>
      </c>
      <c r="H834" s="35" t="str">
        <f>VLOOKUP(Tableau65[[#This Row],[Utilisateur]],Tableau3[[Prenoms (ID)]:[Localisation]],2,FALSE)</f>
        <v>RECCI / Lalaina</v>
      </c>
      <c r="I834" s="35" t="str">
        <f>VLOOKUP(Tableau65[[#This Row],[Utilisateur]],Tableau3[[Prenoms (ID)]:[Localisation]],3,FALSE)</f>
        <v>BIRA</v>
      </c>
      <c r="J834" s="35" t="str">
        <f>VLOOKUP(Tableau65[[#This Row],[Utilisateur]],Tableau3[[Prenoms (ID)]:[CABINET]],4,FALSE)</f>
        <v>CPA</v>
      </c>
    </row>
    <row r="835" spans="1:10" x14ac:dyDescent="0.25">
      <c r="A835" s="2">
        <v>45826</v>
      </c>
      <c r="B835" t="s">
        <v>82</v>
      </c>
      <c r="C835" s="6">
        <v>1</v>
      </c>
      <c r="D835" t="s">
        <v>49</v>
      </c>
      <c r="G835" t="s">
        <v>662</v>
      </c>
      <c r="H835" s="35" t="str">
        <f>VLOOKUP(Tableau65[[#This Row],[Utilisateur]],Tableau3[[Prenoms (ID)]:[Localisation]],2,FALSE)</f>
        <v>Accefi</v>
      </c>
      <c r="I835" s="35" t="str">
        <f>VLOOKUP(Tableau65[[#This Row],[Utilisateur]],Tableau3[[Prenoms (ID)]:[Localisation]],3,FALSE)</f>
        <v>ACCEFI</v>
      </c>
      <c r="J835" s="35" t="str">
        <f>VLOOKUP(Tableau65[[#This Row],[Utilisateur]],Tableau3[[Prenoms (ID)]:[CABINET]],4,FALSE)</f>
        <v>CPA</v>
      </c>
    </row>
    <row r="836" spans="1:10" x14ac:dyDescent="0.25">
      <c r="A836" s="2">
        <v>45831</v>
      </c>
      <c r="B836" t="s">
        <v>52</v>
      </c>
      <c r="C836" s="6">
        <v>1</v>
      </c>
      <c r="D836" t="s">
        <v>49</v>
      </c>
      <c r="G836" t="s">
        <v>354</v>
      </c>
      <c r="H836" s="35" t="str">
        <f>VLOOKUP(Tableau65[[#This Row],[Utilisateur]],Tableau3[[Prenoms (ID)]:[Localisation]],2,FALSE)</f>
        <v>RECCI / Lalaina</v>
      </c>
      <c r="I836" s="35" t="str">
        <f>VLOOKUP(Tableau65[[#This Row],[Utilisateur]],Tableau3[[Prenoms (ID)]:[Localisation]],3,FALSE)</f>
        <v>BNI2</v>
      </c>
      <c r="J836" s="35">
        <f>VLOOKUP(Tableau65[[#This Row],[Utilisateur]],Tableau3[[Prenoms (ID)]:[CABINET]],4,FALSE)</f>
        <v>0</v>
      </c>
    </row>
    <row r="837" spans="1:10" x14ac:dyDescent="0.25">
      <c r="A837" s="2">
        <v>45831</v>
      </c>
      <c r="B837" t="s">
        <v>52</v>
      </c>
      <c r="C837" s="6">
        <v>1</v>
      </c>
      <c r="D837" t="s">
        <v>49</v>
      </c>
      <c r="G837" t="s">
        <v>663</v>
      </c>
      <c r="H837" s="35" t="str">
        <f>VLOOKUP(Tableau65[[#This Row],[Utilisateur]],Tableau3[[Prenoms (ID)]:[Localisation]],2,FALSE)</f>
        <v>AGE CONSEIL</v>
      </c>
      <c r="I837" s="35" t="str">
        <f>VLOOKUP(Tableau65[[#This Row],[Utilisateur]],Tableau3[[Prenoms (ID)]:[Localisation]],3,FALSE)</f>
        <v>DEV</v>
      </c>
      <c r="J837" s="35">
        <f>VLOOKUP(Tableau65[[#This Row],[Utilisateur]],Tableau3[[Prenoms (ID)]:[CABINET]],4,FALSE)</f>
        <v>0</v>
      </c>
    </row>
    <row r="838" spans="1:10" x14ac:dyDescent="0.25">
      <c r="A838" s="2">
        <v>45835</v>
      </c>
      <c r="B838" t="s">
        <v>52</v>
      </c>
      <c r="C838" s="6">
        <v>1</v>
      </c>
      <c r="D838" t="s">
        <v>49</v>
      </c>
      <c r="G838" t="s">
        <v>455</v>
      </c>
      <c r="H838" s="35" t="str">
        <f>VLOOKUP(Tableau65[[#This Row],[Utilisateur]],Tableau3[[Prenoms (ID)]:[Localisation]],2,FALSE)</f>
        <v>-</v>
      </c>
      <c r="I838" s="35" t="str">
        <f>VLOOKUP(Tableau65[[#This Row],[Utilisateur]],Tableau3[[Prenoms (ID)]:[Localisation]],3,FALSE)</f>
        <v>BIRA</v>
      </c>
      <c r="J838" s="35" t="str">
        <f>VLOOKUP(Tableau65[[#This Row],[Utilisateur]],Tableau3[[Prenoms (ID)]:[CABINET]],4,FALSE)</f>
        <v>CPA</v>
      </c>
    </row>
    <row r="839" spans="1:10" x14ac:dyDescent="0.25">
      <c r="A839" s="2">
        <v>45835</v>
      </c>
      <c r="B839" t="s">
        <v>52</v>
      </c>
      <c r="C839" s="6">
        <v>1</v>
      </c>
      <c r="D839" t="s">
        <v>49</v>
      </c>
      <c r="G839" t="s">
        <v>487</v>
      </c>
      <c r="H839" s="35" t="str">
        <f>VLOOKUP(Tableau65[[#This Row],[Utilisateur]],Tableau3[[Prenoms (ID)]:[Localisation]],2,FALSE)</f>
        <v>Optique / Sata</v>
      </c>
      <c r="I839" s="35" t="str">
        <f>VLOOKUP(Tableau65[[#This Row],[Utilisateur]],Tableau3[[Prenoms (ID)]:[Localisation]],3,FALSE)</f>
        <v>BNI1</v>
      </c>
      <c r="J839" s="35">
        <f>VLOOKUP(Tableau65[[#This Row],[Utilisateur]],Tableau3[[Prenoms (ID)]:[CABINET]],4,FALSE)</f>
        <v>0</v>
      </c>
    </row>
    <row r="840" spans="1:10" x14ac:dyDescent="0.25">
      <c r="A840" s="2">
        <v>45835</v>
      </c>
      <c r="B840" t="s">
        <v>52</v>
      </c>
      <c r="C840" s="6">
        <v>1</v>
      </c>
      <c r="D840" t="s">
        <v>49</v>
      </c>
      <c r="E840" t="s">
        <v>664</v>
      </c>
      <c r="G840" t="s">
        <v>665</v>
      </c>
      <c r="H840" s="35" t="str">
        <f>VLOOKUP(Tableau65[[#This Row],[Utilisateur]],Tableau3[[Prenoms (ID)]:[Localisation]],2,FALSE)</f>
        <v>Juridique</v>
      </c>
      <c r="I840" s="35" t="str">
        <f>VLOOKUP(Tableau65[[#This Row],[Utilisateur]],Tableau3[[Prenoms (ID)]:[Localisation]],3,FALSE)</f>
        <v>BNI1</v>
      </c>
      <c r="J840" s="35">
        <f>VLOOKUP(Tableau65[[#This Row],[Utilisateur]],Tableau3[[Prenoms (ID)]:[CABINET]],4,FALSE)</f>
        <v>0</v>
      </c>
    </row>
    <row r="841" spans="1:10" x14ac:dyDescent="0.25">
      <c r="A841" s="2">
        <v>45838</v>
      </c>
      <c r="B841" t="s">
        <v>52</v>
      </c>
      <c r="C841" s="6">
        <v>1</v>
      </c>
      <c r="D841" t="s">
        <v>49</v>
      </c>
      <c r="G841" t="s">
        <v>258</v>
      </c>
      <c r="H841" s="35" t="str">
        <f>VLOOKUP(Tableau65[[#This Row],[Utilisateur]],Tableau3[[Prenoms (ID)]:[Localisation]],2,FALSE)</f>
        <v>RECCI SAV</v>
      </c>
      <c r="I841" s="35" t="str">
        <f>VLOOKUP(Tableau65[[#This Row],[Utilisateur]],Tableau3[[Prenoms (ID)]:[Localisation]],3,FALSE)</f>
        <v>BNI2</v>
      </c>
      <c r="J841" s="35">
        <f>VLOOKUP(Tableau65[[#This Row],[Utilisateur]],Tableau3[[Prenoms (ID)]:[CABINET]],4,FALSE)</f>
        <v>0</v>
      </c>
    </row>
    <row r="842" spans="1:10" x14ac:dyDescent="0.25">
      <c r="A842" s="2">
        <v>45838</v>
      </c>
      <c r="B842" t="s">
        <v>25</v>
      </c>
      <c r="C842" s="6">
        <v>1</v>
      </c>
      <c r="D842" t="s">
        <v>49</v>
      </c>
      <c r="G842" t="s">
        <v>395</v>
      </c>
      <c r="H842" s="35" t="str">
        <f>VLOOKUP(Tableau65[[#This Row],[Utilisateur]],Tableau3[[Prenoms (ID)]:[Localisation]],2,FALSE)</f>
        <v>RECCI SAV</v>
      </c>
      <c r="I842" s="35" t="str">
        <f>VLOOKUP(Tableau65[[#This Row],[Utilisateur]],Tableau3[[Prenoms (ID)]:[Localisation]],3,FALSE)</f>
        <v>BNI2</v>
      </c>
      <c r="J842" s="35">
        <f>VLOOKUP(Tableau65[[#This Row],[Utilisateur]],Tableau3[[Prenoms (ID)]:[CABINET]],4,FALSE)</f>
        <v>0</v>
      </c>
    </row>
    <row r="843" spans="1:10" x14ac:dyDescent="0.25">
      <c r="A843" s="2">
        <v>45838</v>
      </c>
      <c r="B843" t="s">
        <v>52</v>
      </c>
      <c r="C843" s="6">
        <v>1</v>
      </c>
      <c r="D843" t="s">
        <v>49</v>
      </c>
      <c r="G843" t="s">
        <v>666</v>
      </c>
      <c r="H843" s="35" t="str">
        <f>VLOOKUP(Tableau65[[#This Row],[Utilisateur]],Tableau3[[Prenoms (ID)]:[Localisation]],2,FALSE)</f>
        <v>COMPTASTAR</v>
      </c>
      <c r="I843" s="35" t="str">
        <f>VLOOKUP(Tableau65[[#This Row],[Utilisateur]],Tableau3[[Prenoms (ID)]:[Localisation]],3,FALSE)</f>
        <v>COMPTASTAR</v>
      </c>
      <c r="J843" s="35" t="str">
        <f>VLOOKUP(Tableau65[[#This Row],[Utilisateur]],Tableau3[[Prenoms (ID)]:[CABINET]],4,FALSE)</f>
        <v>CPA</v>
      </c>
    </row>
    <row r="844" spans="1:10" x14ac:dyDescent="0.25">
      <c r="A844" s="2">
        <v>45840</v>
      </c>
      <c r="B844" t="s">
        <v>60</v>
      </c>
      <c r="C844" s="6">
        <v>1</v>
      </c>
      <c r="D844" t="s">
        <v>49</v>
      </c>
      <c r="G844" t="s">
        <v>557</v>
      </c>
      <c r="H844" s="35" t="str">
        <f>VLOOKUP(Tableau65[[#This Row],[Utilisateur]],Tableau3[[Prenoms (ID)]:[Localisation]],2,FALSE)</f>
        <v>-</v>
      </c>
      <c r="I844" s="35" t="str">
        <f>VLOOKUP(Tableau65[[#This Row],[Utilisateur]],Tableau3[[Prenoms (ID)]:[Localisation]],3,FALSE)</f>
        <v>BIRA</v>
      </c>
      <c r="J844" s="35" t="str">
        <f>VLOOKUP(Tableau65[[#This Row],[Utilisateur]],Tableau3[[Prenoms (ID)]:[CABINET]],4,FALSE)</f>
        <v>CPA</v>
      </c>
    </row>
    <row r="845" spans="1:10" x14ac:dyDescent="0.25">
      <c r="A845" s="2">
        <v>45840</v>
      </c>
      <c r="B845" t="s">
        <v>52</v>
      </c>
      <c r="C845" s="6">
        <v>1</v>
      </c>
      <c r="D845" t="s">
        <v>49</v>
      </c>
      <c r="E845" t="s">
        <v>667</v>
      </c>
      <c r="G845" t="s">
        <v>668</v>
      </c>
      <c r="H845" s="35" t="str">
        <f>VLOOKUP(Tableau65[[#This Row],[Utilisateur]],Tableau3[[Prenoms (ID)]:[Localisation]],2,FALSE)</f>
        <v>Experts CPA</v>
      </c>
      <c r="I845" s="35" t="str">
        <f>VLOOKUP(Tableau65[[#This Row],[Utilisateur]],Tableau3[[Prenoms (ID)]:[Localisation]],3,FALSE)</f>
        <v>Matura</v>
      </c>
      <c r="J845" s="35">
        <f>VLOOKUP(Tableau65[[#This Row],[Utilisateur]],Tableau3[[Prenoms (ID)]:[CABINET]],4,FALSE)</f>
        <v>0</v>
      </c>
    </row>
    <row r="846" spans="1:10" x14ac:dyDescent="0.25">
      <c r="A846" s="2">
        <v>45840</v>
      </c>
      <c r="B846" t="s">
        <v>52</v>
      </c>
      <c r="C846" s="6">
        <v>1</v>
      </c>
      <c r="D846" t="s">
        <v>49</v>
      </c>
      <c r="G846" t="s">
        <v>430</v>
      </c>
      <c r="H846" s="35" t="str">
        <f>VLOOKUP(Tableau65[[#This Row],[Utilisateur]],Tableau3[[Prenoms (ID)]:[Localisation]],2,FALSE)</f>
        <v>Audit CPA</v>
      </c>
      <c r="I846" s="35" t="str">
        <f>VLOOKUP(Tableau65[[#This Row],[Utilisateur]],Tableau3[[Prenoms (ID)]:[Localisation]],3,FALSE)</f>
        <v>AUDIT-CPA</v>
      </c>
      <c r="J846" s="35" t="str">
        <f>VLOOKUP(Tableau65[[#This Row],[Utilisateur]],Tableau3[[Prenoms (ID)]:[CABINET]],4,FALSE)</f>
        <v>CPA</v>
      </c>
    </row>
    <row r="847" spans="1:10" x14ac:dyDescent="0.25">
      <c r="A847" s="2">
        <v>45840</v>
      </c>
      <c r="B847" t="s">
        <v>52</v>
      </c>
      <c r="C847" s="6">
        <v>1</v>
      </c>
      <c r="D847" t="s">
        <v>49</v>
      </c>
      <c r="G847" t="s">
        <v>386</v>
      </c>
      <c r="H847" s="35" t="str">
        <f>VLOOKUP(Tableau65[[#This Row],[Utilisateur]],Tableau3[[Prenoms (ID)]:[Localisation]],2,FALSE)</f>
        <v>Audit CPA</v>
      </c>
      <c r="I847" s="35" t="str">
        <f>VLOOKUP(Tableau65[[#This Row],[Utilisateur]],Tableau3[[Prenoms (ID)]:[Localisation]],3,FALSE)</f>
        <v>AUDIT-CPA</v>
      </c>
      <c r="J847" s="35" t="str">
        <f>VLOOKUP(Tableau65[[#This Row],[Utilisateur]],Tableau3[[Prenoms (ID)]:[CABINET]],4,FALSE)</f>
        <v>CPA</v>
      </c>
    </row>
    <row r="848" spans="1:10" x14ac:dyDescent="0.25">
      <c r="A848" s="2">
        <v>45840</v>
      </c>
      <c r="B848" t="s">
        <v>52</v>
      </c>
      <c r="C848" s="6">
        <v>1</v>
      </c>
      <c r="D848" t="s">
        <v>49</v>
      </c>
      <c r="G848" t="s">
        <v>669</v>
      </c>
      <c r="H848" s="35" t="str">
        <f>VLOOKUP(Tableau65[[#This Row],[Utilisateur]],Tableau3[[Prenoms (ID)]:[Localisation]],2,FALSE)</f>
        <v>Xperia</v>
      </c>
      <c r="I848" s="35" t="str">
        <f>VLOOKUP(Tableau65[[#This Row],[Utilisateur]],Tableau3[[Prenoms (ID)]:[Localisation]],3,FALSE)</f>
        <v>ARSAC</v>
      </c>
      <c r="J848" s="35">
        <f>VLOOKUP(Tableau65[[#This Row],[Utilisateur]],Tableau3[[Prenoms (ID)]:[CABINET]],4,FALSE)</f>
        <v>0</v>
      </c>
    </row>
    <row r="849" spans="1:10" x14ac:dyDescent="0.25">
      <c r="A849" s="2">
        <v>45841</v>
      </c>
      <c r="B849" t="s">
        <v>52</v>
      </c>
      <c r="C849" s="6">
        <v>1</v>
      </c>
      <c r="D849" t="s">
        <v>49</v>
      </c>
      <c r="G849" t="s">
        <v>503</v>
      </c>
      <c r="H849" s="35" t="str">
        <f>VLOOKUP(Tableau65[[#This Row],[Utilisateur]],Tableau3[[Prenoms (ID)]:[Localisation]],2,FALSE)</f>
        <v>AGE CONSEIL</v>
      </c>
      <c r="I849" s="35" t="str">
        <f>VLOOKUP(Tableau65[[#This Row],[Utilisateur]],Tableau3[[Prenoms (ID)]:[Localisation]],3,FALSE)</f>
        <v>DEV</v>
      </c>
      <c r="J849" s="35">
        <f>VLOOKUP(Tableau65[[#This Row],[Utilisateur]],Tableau3[[Prenoms (ID)]:[CABINET]],4,FALSE)</f>
        <v>0</v>
      </c>
    </row>
    <row r="850" spans="1:10" x14ac:dyDescent="0.25">
      <c r="A850" s="2">
        <v>45845</v>
      </c>
      <c r="B850" t="s">
        <v>52</v>
      </c>
      <c r="C850" s="6">
        <v>1</v>
      </c>
      <c r="D850" t="s">
        <v>49</v>
      </c>
      <c r="E850" t="s">
        <v>670</v>
      </c>
      <c r="G850" t="s">
        <v>671</v>
      </c>
      <c r="H850" s="35">
        <f>VLOOKUP(Tableau65[[#This Row],[Utilisateur]],Tableau3[[Prenoms (ID)]:[Localisation]],2,FALSE)</f>
        <v>0</v>
      </c>
      <c r="I850" s="35" t="str">
        <f>VLOOKUP(Tableau65[[#This Row],[Utilisateur]],Tableau3[[Prenoms (ID)]:[Localisation]],3,FALSE)</f>
        <v>Madafit</v>
      </c>
      <c r="J850" s="35">
        <f>VLOOKUP(Tableau65[[#This Row],[Utilisateur]],Tableau3[[Prenoms (ID)]:[CABINET]],4,FALSE)</f>
        <v>0</v>
      </c>
    </row>
    <row r="851" spans="1:10" x14ac:dyDescent="0.25">
      <c r="A851" s="2">
        <v>45845</v>
      </c>
      <c r="B851" t="s">
        <v>52</v>
      </c>
      <c r="C851" s="6">
        <v>1</v>
      </c>
      <c r="D851" t="s">
        <v>49</v>
      </c>
      <c r="G851" t="s">
        <v>500</v>
      </c>
      <c r="H851" s="35" t="str">
        <f>VLOOKUP(Tableau65[[#This Row],[Utilisateur]],Tableau3[[Prenoms (ID)]:[Localisation]],2,FALSE)</f>
        <v>COMPTASTAR</v>
      </c>
      <c r="I851" s="35" t="str">
        <f>VLOOKUP(Tableau65[[#This Row],[Utilisateur]],Tableau3[[Prenoms (ID)]:[Localisation]],3,FALSE)</f>
        <v>COMPTASTAR</v>
      </c>
      <c r="J851" s="35" t="str">
        <f>VLOOKUP(Tableau65[[#This Row],[Utilisateur]],Tableau3[[Prenoms (ID)]:[CABINET]],4,FALSE)</f>
        <v>CPA</v>
      </c>
    </row>
    <row r="852" spans="1:10" x14ac:dyDescent="0.25">
      <c r="A852" s="2">
        <v>45845</v>
      </c>
      <c r="B852" t="s">
        <v>25</v>
      </c>
      <c r="C852" s="6">
        <v>1</v>
      </c>
      <c r="D852" t="s">
        <v>49</v>
      </c>
      <c r="E852" t="s">
        <v>670</v>
      </c>
      <c r="G852" t="s">
        <v>671</v>
      </c>
      <c r="H852" s="35">
        <f>VLOOKUP(Tableau65[[#This Row],[Utilisateur]],Tableau3[[Prenoms (ID)]:[Localisation]],2,FALSE)</f>
        <v>0</v>
      </c>
      <c r="I852" s="35" t="str">
        <f>VLOOKUP(Tableau65[[#This Row],[Utilisateur]],Tableau3[[Prenoms (ID)]:[Localisation]],3,FALSE)</f>
        <v>Madafit</v>
      </c>
      <c r="J852" s="35">
        <f>VLOOKUP(Tableau65[[#This Row],[Utilisateur]],Tableau3[[Prenoms (ID)]:[CABINET]],4,FALSE)</f>
        <v>0</v>
      </c>
    </row>
    <row r="853" spans="1:10" x14ac:dyDescent="0.25">
      <c r="A853" s="2">
        <v>45845</v>
      </c>
      <c r="B853" t="s">
        <v>52</v>
      </c>
      <c r="C853" s="6">
        <v>1</v>
      </c>
      <c r="D853" t="s">
        <v>49</v>
      </c>
      <c r="G853" t="s">
        <v>379</v>
      </c>
      <c r="H853" s="35" t="str">
        <f>VLOOKUP(Tableau65[[#This Row],[Utilisateur]],Tableau3[[Prenoms (ID)]:[Localisation]],2,FALSE)</f>
        <v>Admin</v>
      </c>
      <c r="I853" s="35" t="str">
        <f>VLOOKUP(Tableau65[[#This Row],[Utilisateur]],Tableau3[[Prenoms (ID)]:[Localisation]],3,FALSE)</f>
        <v>DIRECTION</v>
      </c>
      <c r="J853" s="35">
        <f>VLOOKUP(Tableau65[[#This Row],[Utilisateur]],Tableau3[[Prenoms (ID)]:[CABINET]],4,FALSE)</f>
        <v>0</v>
      </c>
    </row>
    <row r="854" spans="1:10" x14ac:dyDescent="0.25">
      <c r="A854" s="2">
        <v>45846</v>
      </c>
      <c r="B854" t="s">
        <v>52</v>
      </c>
      <c r="C854" s="6">
        <v>1</v>
      </c>
      <c r="D854" t="s">
        <v>49</v>
      </c>
      <c r="G854" t="s">
        <v>672</v>
      </c>
      <c r="H854" s="35" t="str">
        <f>VLOOKUP(Tableau65[[#This Row],[Utilisateur]],Tableau3[[Prenoms (ID)]:[Localisation]],2,FALSE)</f>
        <v>Audit CPA</v>
      </c>
      <c r="I854" s="35" t="str">
        <f>VLOOKUP(Tableau65[[#This Row],[Utilisateur]],Tableau3[[Prenoms (ID)]:[Localisation]],3,FALSE)</f>
        <v>MADAFIT</v>
      </c>
      <c r="J854" s="35" t="str">
        <f>VLOOKUP(Tableau65[[#This Row],[Utilisateur]],Tableau3[[Prenoms (ID)]:[CABINET]],4,FALSE)</f>
        <v>CPA</v>
      </c>
    </row>
    <row r="855" spans="1:10" x14ac:dyDescent="0.25">
      <c r="A855" s="2">
        <v>45848</v>
      </c>
      <c r="B855" t="s">
        <v>52</v>
      </c>
      <c r="C855" s="6">
        <v>1</v>
      </c>
      <c r="D855" t="s">
        <v>49</v>
      </c>
      <c r="G855" t="s">
        <v>580</v>
      </c>
      <c r="H855" s="35" t="str">
        <f>VLOOKUP(Tableau65[[#This Row],[Utilisateur]],Tableau3[[Prenoms (ID)]:[Localisation]],2,FALSE)</f>
        <v>Info</v>
      </c>
      <c r="I855" s="35" t="str">
        <f>VLOOKUP(Tableau65[[#This Row],[Utilisateur]],Tableau3[[Prenoms (ID)]:[Localisation]],3,FALSE)</f>
        <v>Informatique</v>
      </c>
      <c r="J855" s="35">
        <f>VLOOKUP(Tableau65[[#This Row],[Utilisateur]],Tableau3[[Prenoms (ID)]:[CABINET]],4,FALSE)</f>
        <v>0</v>
      </c>
    </row>
    <row r="856" spans="1:10" x14ac:dyDescent="0.25">
      <c r="A856" s="2">
        <v>45852</v>
      </c>
      <c r="B856" t="s">
        <v>52</v>
      </c>
      <c r="C856" s="6">
        <v>1</v>
      </c>
      <c r="D856" t="s">
        <v>49</v>
      </c>
      <c r="G856" t="s">
        <v>673</v>
      </c>
      <c r="H856" s="35">
        <f>VLOOKUP(Tableau65[[#This Row],[Utilisateur]],Tableau3[[Prenoms (ID)]:[Localisation]],2,FALSE)</f>
        <v>0</v>
      </c>
      <c r="I856" s="35" t="str">
        <f>VLOOKUP(Tableau65[[#This Row],[Utilisateur]],Tableau3[[Prenoms (ID)]:[Localisation]],3,FALSE)</f>
        <v>Madafit</v>
      </c>
      <c r="J856" s="35">
        <f>VLOOKUP(Tableau65[[#This Row],[Utilisateur]],Tableau3[[Prenoms (ID)]:[CABINET]],4,FALSE)</f>
        <v>0</v>
      </c>
    </row>
    <row r="857" spans="1:10" x14ac:dyDescent="0.25">
      <c r="A857" s="2">
        <v>45854</v>
      </c>
      <c r="B857" t="s">
        <v>52</v>
      </c>
      <c r="C857" s="6">
        <v>1</v>
      </c>
      <c r="D857" t="s">
        <v>49</v>
      </c>
      <c r="G857" t="s">
        <v>489</v>
      </c>
      <c r="H857" s="35" t="str">
        <f>VLOOKUP(Tableau65[[#This Row],[Utilisateur]],Tableau3[[Prenoms (ID)]:[Localisation]],2,FALSE)</f>
        <v>Optique / Sata</v>
      </c>
      <c r="I857" s="35" t="str">
        <f>VLOOKUP(Tableau65[[#This Row],[Utilisateur]],Tableau3[[Prenoms (ID)]:[Localisation]],3,FALSE)</f>
        <v>BNI1</v>
      </c>
      <c r="J857" s="35">
        <f>VLOOKUP(Tableau65[[#This Row],[Utilisateur]],Tableau3[[Prenoms (ID)]:[CABINET]],4,FALSE)</f>
        <v>0</v>
      </c>
    </row>
    <row r="858" spans="1:10" x14ac:dyDescent="0.25">
      <c r="A858" s="2">
        <v>45854</v>
      </c>
      <c r="B858" t="s">
        <v>52</v>
      </c>
      <c r="C858" s="6">
        <v>1</v>
      </c>
      <c r="D858" t="s">
        <v>49</v>
      </c>
      <c r="G858" t="s">
        <v>565</v>
      </c>
      <c r="H858" s="35" t="str">
        <f>VLOOKUP(Tableau65[[#This Row],[Utilisateur]],Tableau3[[Prenoms (ID)]:[Localisation]],2,FALSE)</f>
        <v>RECCI / Njato Be</v>
      </c>
      <c r="I858" s="35" t="str">
        <f>VLOOKUP(Tableau65[[#This Row],[Utilisateur]],Tableau3[[Prenoms (ID)]:[Localisation]],3,FALSE)</f>
        <v>BNI2</v>
      </c>
      <c r="J858" s="35">
        <f>VLOOKUP(Tableau65[[#This Row],[Utilisateur]],Tableau3[[Prenoms (ID)]:[CABINET]],4,FALSE)</f>
        <v>0</v>
      </c>
    </row>
    <row r="859" spans="1:10" x14ac:dyDescent="0.25">
      <c r="A859" s="2">
        <v>45854</v>
      </c>
      <c r="B859" t="s">
        <v>25</v>
      </c>
      <c r="C859" s="6">
        <v>1</v>
      </c>
      <c r="D859" t="s">
        <v>49</v>
      </c>
      <c r="G859" t="s">
        <v>218</v>
      </c>
      <c r="H859" s="35" t="str">
        <f>VLOOKUP(Tableau65[[#This Row],[Utilisateur]],Tableau3[[Prenoms (ID)]:[Localisation]],2,FALSE)</f>
        <v>ECCENTIVE</v>
      </c>
      <c r="I859" s="35" t="str">
        <f>VLOOKUP(Tableau65[[#This Row],[Utilisateur]],Tableau3[[Prenoms (ID)]:[Localisation]],3,FALSE)</f>
        <v>CENTRE</v>
      </c>
      <c r="J859" s="35">
        <f>VLOOKUP(Tableau65[[#This Row],[Utilisateur]],Tableau3[[Prenoms (ID)]:[CABINET]],4,FALSE)</f>
        <v>0</v>
      </c>
    </row>
    <row r="860" spans="1:10" x14ac:dyDescent="0.25">
      <c r="A860" s="2">
        <v>45855</v>
      </c>
      <c r="B860" t="s">
        <v>52</v>
      </c>
      <c r="C860" s="6">
        <v>1</v>
      </c>
      <c r="D860" t="s">
        <v>49</v>
      </c>
      <c r="G860" t="s">
        <v>649</v>
      </c>
      <c r="H860" s="35" t="str">
        <f>VLOOKUP(Tableau65[[#This Row],[Utilisateur]],Tableau3[[Prenoms (ID)]:[Localisation]],2,FALSE)</f>
        <v>Juridique</v>
      </c>
      <c r="I860" s="35" t="str">
        <f>VLOOKUP(Tableau65[[#This Row],[Utilisateur]],Tableau3[[Prenoms (ID)]:[Localisation]],3,FALSE)</f>
        <v>BNI2</v>
      </c>
      <c r="J860" s="35">
        <f>VLOOKUP(Tableau65[[#This Row],[Utilisateur]],Tableau3[[Prenoms (ID)]:[CABINET]],4,FALSE)</f>
        <v>0</v>
      </c>
    </row>
    <row r="861" spans="1:10" x14ac:dyDescent="0.25">
      <c r="A861" s="2">
        <v>45859</v>
      </c>
      <c r="B861" t="s">
        <v>24</v>
      </c>
      <c r="C861" s="6">
        <v>1</v>
      </c>
      <c r="D861" t="s">
        <v>49</v>
      </c>
      <c r="G861" t="s">
        <v>644</v>
      </c>
      <c r="H861" s="35" t="str">
        <f>VLOOKUP(Tableau65[[#This Row],[Utilisateur]],Tableau3[[Prenoms (ID)]:[Localisation]],2,FALSE)</f>
        <v>-</v>
      </c>
      <c r="I861" s="35" t="str">
        <f>VLOOKUP(Tableau65[[#This Row],[Utilisateur]],Tableau3[[Prenoms (ID)]:[Localisation]],3,FALSE)</f>
        <v>BIRA</v>
      </c>
      <c r="J861" s="35" t="str">
        <f>VLOOKUP(Tableau65[[#This Row],[Utilisateur]],Tableau3[[Prenoms (ID)]:[CABINET]],4,FALSE)</f>
        <v>CPA</v>
      </c>
    </row>
    <row r="862" spans="1:10" x14ac:dyDescent="0.25">
      <c r="A862" s="2">
        <v>45859</v>
      </c>
      <c r="B862" t="s">
        <v>52</v>
      </c>
      <c r="C862" s="6">
        <v>1</v>
      </c>
      <c r="D862" t="s">
        <v>49</v>
      </c>
      <c r="G862" t="s">
        <v>672</v>
      </c>
      <c r="H862" s="35" t="str">
        <f>VLOOKUP(Tableau65[[#This Row],[Utilisateur]],Tableau3[[Prenoms (ID)]:[Localisation]],2,FALSE)</f>
        <v>Audit CPA</v>
      </c>
      <c r="I862" s="35" t="str">
        <f>VLOOKUP(Tableau65[[#This Row],[Utilisateur]],Tableau3[[Prenoms (ID)]:[Localisation]],3,FALSE)</f>
        <v>MADAFIT</v>
      </c>
      <c r="J862" s="35" t="str">
        <f>VLOOKUP(Tableau65[[#This Row],[Utilisateur]],Tableau3[[Prenoms (ID)]:[CABINET]],4,FALSE)</f>
        <v>CPA</v>
      </c>
    </row>
    <row r="863" spans="1:10" x14ac:dyDescent="0.25">
      <c r="A863" s="2">
        <v>45859</v>
      </c>
      <c r="B863" t="s">
        <v>52</v>
      </c>
      <c r="C863" s="6">
        <v>1</v>
      </c>
      <c r="D863" t="s">
        <v>49</v>
      </c>
      <c r="G863" t="s">
        <v>548</v>
      </c>
      <c r="H863" s="35" t="str">
        <f>VLOOKUP(Tableau65[[#This Row],[Utilisateur]],Tableau3[[Prenoms (ID)]:[Localisation]],2,FALSE)</f>
        <v>Cecca rueil</v>
      </c>
      <c r="I863" s="35" t="str">
        <f>VLOOKUP(Tableau65[[#This Row],[Utilisateur]],Tableau3[[Prenoms (ID)]:[Localisation]],3,FALSE)</f>
        <v>BNI1</v>
      </c>
      <c r="J863" s="35">
        <f>VLOOKUP(Tableau65[[#This Row],[Utilisateur]],Tableau3[[Prenoms (ID)]:[CABINET]],4,FALSE)</f>
        <v>0</v>
      </c>
    </row>
    <row r="864" spans="1:10" x14ac:dyDescent="0.25">
      <c r="A864" s="2">
        <v>45859</v>
      </c>
      <c r="B864" t="s">
        <v>52</v>
      </c>
      <c r="C864" s="6">
        <v>1</v>
      </c>
      <c r="D864" t="s">
        <v>49</v>
      </c>
      <c r="G864" t="s">
        <v>531</v>
      </c>
      <c r="H864" s="35" t="str">
        <f>VLOOKUP(Tableau65[[#This Row],[Utilisateur]],Tableau3[[Prenoms (ID)]:[Localisation]],2,FALSE)</f>
        <v>Accefi</v>
      </c>
      <c r="I864" s="35" t="str">
        <f>VLOOKUP(Tableau65[[#This Row],[Utilisateur]],Tableau3[[Prenoms (ID)]:[Localisation]],3,FALSE)</f>
        <v>ACCEFI</v>
      </c>
      <c r="J864" s="35" t="str">
        <f>VLOOKUP(Tableau65[[#This Row],[Utilisateur]],Tableau3[[Prenoms (ID)]:[CABINET]],4,FALSE)</f>
        <v>CPA</v>
      </c>
    </row>
    <row r="865" spans="1:13" x14ac:dyDescent="0.25">
      <c r="A865" s="2">
        <v>45859</v>
      </c>
      <c r="B865" t="s">
        <v>58</v>
      </c>
      <c r="C865" s="6">
        <v>1</v>
      </c>
      <c r="D865" t="s">
        <v>49</v>
      </c>
      <c r="G865" t="s">
        <v>265</v>
      </c>
      <c r="H865" s="35" t="str">
        <f>VLOOKUP(Tableau65[[#This Row],[Utilisateur]],Tableau3[[Prenoms (ID)]:[Localisation]],2,FALSE)</f>
        <v>Admin</v>
      </c>
      <c r="I865" s="35" t="str">
        <f>VLOOKUP(Tableau65[[#This Row],[Utilisateur]],Tableau3[[Prenoms (ID)]:[Localisation]],3,FALSE)</f>
        <v>BIRA</v>
      </c>
      <c r="J865" s="35" t="str">
        <f>VLOOKUP(Tableau65[[#This Row],[Utilisateur]],Tableau3[[Prenoms (ID)]:[CABINET]],4,FALSE)</f>
        <v>CPA</v>
      </c>
    </row>
    <row r="866" spans="1:13" x14ac:dyDescent="0.25">
      <c r="A866" s="2">
        <v>45862</v>
      </c>
      <c r="B866" t="s">
        <v>52</v>
      </c>
      <c r="C866" s="6">
        <v>1</v>
      </c>
      <c r="D866" t="s">
        <v>49</v>
      </c>
      <c r="G866" t="s">
        <v>346</v>
      </c>
      <c r="H866" s="35" t="str">
        <f>VLOOKUP(Tableau65[[#This Row],[Utilisateur]],Tableau3[[Prenoms (ID)]:[Localisation]],2,FALSE)</f>
        <v>Optique / Sata</v>
      </c>
      <c r="I866" s="35" t="str">
        <f>VLOOKUP(Tableau65[[#This Row],[Utilisateur]],Tableau3[[Prenoms (ID)]:[Localisation]],3,FALSE)</f>
        <v>BNI1</v>
      </c>
      <c r="J866" s="35">
        <f>VLOOKUP(Tableau65[[#This Row],[Utilisateur]],Tableau3[[Prenoms (ID)]:[CABINET]],4,FALSE)</f>
        <v>0</v>
      </c>
    </row>
    <row r="867" spans="1:13" x14ac:dyDescent="0.25">
      <c r="A867" s="2">
        <v>45863</v>
      </c>
      <c r="B867" t="s">
        <v>52</v>
      </c>
      <c r="C867" s="6">
        <v>1</v>
      </c>
      <c r="D867" t="s">
        <v>49</v>
      </c>
      <c r="G867" t="s">
        <v>674</v>
      </c>
      <c r="H867" s="35" t="str">
        <f>VLOOKUP(Tableau65[[#This Row],[Utilisateur]],Tableau3[[Prenoms (ID)]:[Localisation]],2,FALSE)</f>
        <v>Apprenti</v>
      </c>
      <c r="I867" s="35" t="str">
        <f>VLOOKUP(Tableau65[[#This Row],[Utilisateur]],Tableau3[[Prenoms (ID)]:[Localisation]],3,FALSE)</f>
        <v>-</v>
      </c>
      <c r="J867" s="35">
        <f>VLOOKUP(Tableau65[[#This Row],[Utilisateur]],Tableau3[[Prenoms (ID)]:[CABINET]],4,FALSE)</f>
        <v>0</v>
      </c>
    </row>
    <row r="868" spans="1:13" x14ac:dyDescent="0.25">
      <c r="A868" s="2">
        <v>45866</v>
      </c>
      <c r="B868" t="s">
        <v>52</v>
      </c>
      <c r="C868" s="6">
        <v>1</v>
      </c>
      <c r="D868" t="s">
        <v>49</v>
      </c>
      <c r="G868" t="s">
        <v>639</v>
      </c>
      <c r="H868" s="35" t="str">
        <f>VLOOKUP(Tableau65[[#This Row],[Utilisateur]],Tableau3[[Prenoms (ID)]:[Localisation]],2,FALSE)</f>
        <v>Apprenti</v>
      </c>
      <c r="I868" s="35" t="str">
        <f>VLOOKUP(Tableau65[[#This Row],[Utilisateur]],Tableau3[[Prenoms (ID)]:[Localisation]],3,FALSE)</f>
        <v>BIRA</v>
      </c>
      <c r="J868" s="35" t="str">
        <f>VLOOKUP(Tableau65[[#This Row],[Utilisateur]],Tableau3[[Prenoms (ID)]:[CABINET]],4,FALSE)</f>
        <v>CPA</v>
      </c>
    </row>
    <row r="869" spans="1:13" x14ac:dyDescent="0.25">
      <c r="A869" s="2">
        <v>45866</v>
      </c>
      <c r="B869" t="s">
        <v>24</v>
      </c>
      <c r="C869" s="6">
        <v>1</v>
      </c>
      <c r="D869" t="s">
        <v>49</v>
      </c>
      <c r="G869" t="s">
        <v>675</v>
      </c>
      <c r="H869" s="35" t="str">
        <f>VLOOKUP(Tableau65[[#This Row],[Utilisateur]],Tableau3[[Prenoms (ID)]:[Localisation]],2,FALSE)</f>
        <v>COMPTASTAR BIC</v>
      </c>
      <c r="I869" s="35" t="str">
        <f>VLOOKUP(Tableau65[[#This Row],[Utilisateur]],Tableau3[[Prenoms (ID)]:[Localisation]],3,FALSE)</f>
        <v>TSIADANA</v>
      </c>
      <c r="J869" s="35" t="str">
        <f>VLOOKUP(Tableau65[[#This Row],[Utilisateur]],Tableau3[[Prenoms (ID)]:[CABINET]],4,FALSE)</f>
        <v>CPA</v>
      </c>
    </row>
    <row r="870" spans="1:13" x14ac:dyDescent="0.25">
      <c r="A870" s="2">
        <v>45869</v>
      </c>
      <c r="B870" t="s">
        <v>52</v>
      </c>
      <c r="C870" s="6">
        <v>1</v>
      </c>
      <c r="D870" t="s">
        <v>49</v>
      </c>
      <c r="G870" t="s">
        <v>676</v>
      </c>
      <c r="H870" s="35" t="str">
        <f>VLOOKUP(Tableau65[[#This Row],[Utilisateur]],Tableau3[[Prenoms (ID)]:[Localisation]],2,FALSE)</f>
        <v>Audit CPA</v>
      </c>
      <c r="I870" s="35" t="str">
        <f>VLOOKUP(Tableau65[[#This Row],[Utilisateur]],Tableau3[[Prenoms (ID)]:[Localisation]],3,FALSE)</f>
        <v>MADAFIT</v>
      </c>
      <c r="J870" s="35" t="str">
        <f>VLOOKUP(Tableau65[[#This Row],[Utilisateur]],Tableau3[[Prenoms (ID)]:[CABINET]],4,FALSE)</f>
        <v>CPA</v>
      </c>
    </row>
    <row r="871" spans="1:13" x14ac:dyDescent="0.25">
      <c r="A871" s="2">
        <v>45869</v>
      </c>
      <c r="B871" t="s">
        <v>24</v>
      </c>
      <c r="C871" s="6">
        <v>1</v>
      </c>
      <c r="D871" t="s">
        <v>49</v>
      </c>
      <c r="G871" t="s">
        <v>677</v>
      </c>
      <c r="H871" s="35" t="str">
        <f>VLOOKUP(Tableau65[[#This Row],[Utilisateur]],Tableau3[[Prenoms (ID)]:[Localisation]],2,FALSE)</f>
        <v>RECCI SAV</v>
      </c>
      <c r="I871" s="35" t="str">
        <f>VLOOKUP(Tableau65[[#This Row],[Utilisateur]],Tableau3[[Prenoms (ID)]:[Localisation]],3,FALSE)</f>
        <v>BNI2</v>
      </c>
      <c r="J871" s="35">
        <f>VLOOKUP(Tableau65[[#This Row],[Utilisateur]],Tableau3[[Prenoms (ID)]:[CABINET]],4,FALSE)</f>
        <v>0</v>
      </c>
    </row>
    <row r="872" spans="1:13" x14ac:dyDescent="0.25">
      <c r="A872" s="2">
        <v>45869</v>
      </c>
      <c r="B872" t="s">
        <v>52</v>
      </c>
      <c r="C872" s="6">
        <v>1</v>
      </c>
      <c r="D872" t="s">
        <v>49</v>
      </c>
      <c r="G872" t="s">
        <v>451</v>
      </c>
      <c r="H872" s="35" t="str">
        <f>VLOOKUP(Tableau65[[#This Row],[Utilisateur]],Tableau3[[Prenoms (ID)]:[Localisation]],2,FALSE)</f>
        <v>Eccentive</v>
      </c>
      <c r="I872" s="35" t="str">
        <f>VLOOKUP(Tableau65[[#This Row],[Utilisateur]],Tableau3[[Prenoms (ID)]:[Localisation]],3,FALSE)</f>
        <v>LMNP</v>
      </c>
      <c r="J872" s="35">
        <f>VLOOKUP(Tableau65[[#This Row],[Utilisateur]],Tableau3[[Prenoms (ID)]:[CABINET]],4,FALSE)</f>
        <v>0</v>
      </c>
    </row>
    <row r="873" spans="1:13" x14ac:dyDescent="0.25">
      <c r="A873" s="2">
        <v>45869</v>
      </c>
      <c r="B873" t="s">
        <v>52</v>
      </c>
      <c r="C873" s="6">
        <v>1</v>
      </c>
      <c r="D873" t="s">
        <v>49</v>
      </c>
      <c r="G873" t="s">
        <v>390</v>
      </c>
      <c r="H873" s="35" t="str">
        <f>VLOOKUP(Tableau65[[#This Row],[Utilisateur]],Tableau3[[Prenoms (ID)]:[Localisation]],2,FALSE)</f>
        <v>Audit CPA</v>
      </c>
      <c r="I873" s="35" t="str">
        <f>VLOOKUP(Tableau65[[#This Row],[Utilisateur]],Tableau3[[Prenoms (ID)]:[Localisation]],3,FALSE)</f>
        <v>AUDIT-CPA</v>
      </c>
      <c r="J873" s="35" t="str">
        <f>VLOOKUP(Tableau65[[#This Row],[Utilisateur]],Tableau3[[Prenoms (ID)]:[CABINET]],4,FALSE)</f>
        <v>CPA</v>
      </c>
    </row>
    <row r="874" spans="1:13" x14ac:dyDescent="0.25">
      <c r="A874" s="2">
        <v>45869</v>
      </c>
      <c r="B874" t="s">
        <v>24</v>
      </c>
      <c r="C874" s="6">
        <v>1</v>
      </c>
      <c r="D874" t="s">
        <v>49</v>
      </c>
      <c r="G874" t="s">
        <v>678</v>
      </c>
      <c r="H874" s="35" t="str">
        <f>VLOOKUP(Tableau65[[#This Row],[Utilisateur]],Tableau3[[Prenoms (ID)]:[Localisation]],2,FALSE)</f>
        <v>Audit CPA</v>
      </c>
      <c r="I874" s="35" t="str">
        <f>VLOOKUP(Tableau65[[#This Row],[Utilisateur]],Tableau3[[Prenoms (ID)]:[Localisation]],3,FALSE)</f>
        <v>MADAFIT</v>
      </c>
      <c r="J874" s="35" t="str">
        <f>VLOOKUP(Tableau65[[#This Row],[Utilisateur]],Tableau3[[Prenoms (ID)]:[CABINET]],4,FALSE)</f>
        <v>CPA</v>
      </c>
    </row>
    <row r="875" spans="1:13" x14ac:dyDescent="0.25">
      <c r="A875" s="2">
        <v>45873</v>
      </c>
      <c r="B875" t="s">
        <v>58</v>
      </c>
      <c r="C875" s="6">
        <v>1</v>
      </c>
      <c r="D875" t="s">
        <v>49</v>
      </c>
      <c r="G875" t="s">
        <v>541</v>
      </c>
      <c r="H875" s="35" t="str">
        <f>VLOOKUP(Tableau65[[#This Row],[Utilisateur]],Tableau3[[Prenoms (ID)]:[Localisation]],2,FALSE)</f>
        <v>Audit CPA</v>
      </c>
      <c r="I875" s="35" t="str">
        <f>VLOOKUP(Tableau65[[#This Row],[Utilisateur]],Tableau3[[Prenoms (ID)]:[Localisation]],3,FALSE)</f>
        <v>MADAFIT</v>
      </c>
      <c r="J875" s="35" t="str">
        <f>VLOOKUP(Tableau65[[#This Row],[Utilisateur]],Tableau3[[Prenoms (ID)]:[CABINET]],4,FALSE)</f>
        <v>CPA</v>
      </c>
    </row>
    <row r="876" spans="1:13" x14ac:dyDescent="0.25">
      <c r="A876" s="2">
        <v>45874</v>
      </c>
      <c r="B876" t="s">
        <v>52</v>
      </c>
      <c r="C876" s="6">
        <v>1</v>
      </c>
      <c r="D876" t="s">
        <v>49</v>
      </c>
      <c r="G876" t="s">
        <v>550</v>
      </c>
      <c r="H876" s="35" t="str">
        <f>VLOOKUP(Tableau65[[#This Row],[Utilisateur]],Tableau3[[Prenoms (ID)]:[Localisation]],2,FALSE)</f>
        <v>Accefi</v>
      </c>
      <c r="I876" s="35" t="str">
        <f>VLOOKUP(Tableau65[[#This Row],[Utilisateur]],Tableau3[[Prenoms (ID)]:[Localisation]],3,FALSE)</f>
        <v>ACCEFI</v>
      </c>
      <c r="J876" s="35" t="str">
        <f>VLOOKUP(Tableau65[[#This Row],[Utilisateur]],Tableau3[[Prenoms (ID)]:[CABINET]],4,FALSE)</f>
        <v>CPA</v>
      </c>
    </row>
    <row r="877" spans="1:13" x14ac:dyDescent="0.25">
      <c r="A877" s="2">
        <v>45875</v>
      </c>
      <c r="B877" t="s">
        <v>52</v>
      </c>
      <c r="C877" s="6">
        <v>1</v>
      </c>
      <c r="D877" t="s">
        <v>49</v>
      </c>
      <c r="G877" t="s">
        <v>229</v>
      </c>
      <c r="H877" s="35" t="str">
        <f>VLOOKUP(Tableau65[[#This Row],[Utilisateur]],Tableau3[[Prenoms (ID)]:[Localisation]],2,FALSE)</f>
        <v>ADMIN</v>
      </c>
      <c r="I877" s="35" t="str">
        <f>VLOOKUP(Tableau65[[#This Row],[Utilisateur]],Tableau3[[Prenoms (ID)]:[Localisation]],3,FALSE)</f>
        <v>MATURA</v>
      </c>
      <c r="J877" s="35">
        <f>VLOOKUP(Tableau65[[#This Row],[Utilisateur]],Tableau3[[Prenoms (ID)]:[CABINET]],4,FALSE)</f>
        <v>0</v>
      </c>
    </row>
    <row r="878" spans="1:13" x14ac:dyDescent="0.25">
      <c r="A878" s="2">
        <v>45876</v>
      </c>
      <c r="B878" t="s">
        <v>52</v>
      </c>
      <c r="C878" s="6">
        <v>1</v>
      </c>
      <c r="D878" t="s">
        <v>49</v>
      </c>
      <c r="G878" t="s">
        <v>378</v>
      </c>
      <c r="H878" s="35" t="str">
        <f>VLOOKUP(Tableau65[[#This Row],[Utilisateur]],Tableau3[[Prenoms (ID)]:[Localisation]],2,FALSE)</f>
        <v>Audit CPA</v>
      </c>
      <c r="I878" s="35" t="str">
        <f>VLOOKUP(Tableau65[[#This Row],[Utilisateur]],Tableau3[[Prenoms (ID)]:[Localisation]],3,FALSE)</f>
        <v>AUDIT-CPA</v>
      </c>
      <c r="J878" s="35" t="str">
        <f>VLOOKUP(Tableau65[[#This Row],[Utilisateur]],Tableau3[[Prenoms (ID)]:[CABINET]],4,FALSE)</f>
        <v>CPA</v>
      </c>
    </row>
    <row r="879" spans="1:13" x14ac:dyDescent="0.25">
      <c r="A879" s="2">
        <v>45880</v>
      </c>
      <c r="B879" t="s">
        <v>52</v>
      </c>
      <c r="C879" s="6">
        <v>1</v>
      </c>
      <c r="D879" t="s">
        <v>49</v>
      </c>
      <c r="G879" t="s">
        <v>679</v>
      </c>
      <c r="H879" s="35" t="str">
        <f>VLOOKUP(Tableau65[[#This Row],[Utilisateur]],Tableau3[[Prenoms (ID)]:[Localisation]],2,FALSE)</f>
        <v>Apprenti</v>
      </c>
      <c r="I879" s="35" t="str">
        <f>VLOOKUP(Tableau65[[#This Row],[Utilisateur]],Tableau3[[Prenoms (ID)]:[Localisation]],3,FALSE)</f>
        <v>BIRA</v>
      </c>
      <c r="J879" s="35" t="str">
        <f>VLOOKUP(Tableau65[[#This Row],[Utilisateur]],Tableau3[[Prenoms (ID)]:[CABINET]],4,FALSE)</f>
        <v>CPA</v>
      </c>
    </row>
    <row r="880" spans="1:13" x14ac:dyDescent="0.25">
      <c r="A880" s="2">
        <v>45880</v>
      </c>
      <c r="B880" t="s">
        <v>274</v>
      </c>
      <c r="C880" s="6">
        <v>1</v>
      </c>
      <c r="D880" t="s">
        <v>49</v>
      </c>
      <c r="G880" t="s">
        <v>661</v>
      </c>
      <c r="H880" s="35" t="str">
        <f>VLOOKUP(Tableau65[[#This Row],[Utilisateur]],Tableau3[[Prenoms (ID)]:[Localisation]],2,FALSE)</f>
        <v>RECCI / Lalaina</v>
      </c>
      <c r="I880" s="35" t="str">
        <f>VLOOKUP(Tableau65[[#This Row],[Utilisateur]],Tableau3[[Prenoms (ID)]:[Localisation]],3,FALSE)</f>
        <v>BIRA</v>
      </c>
      <c r="J880" s="35" t="str">
        <f>VLOOKUP(Tableau65[[#This Row],[Utilisateur]],Tableau3[[Prenoms (ID)]:[CABINET]],4,FALSE)</f>
        <v>CPA</v>
      </c>
      <c r="M880" t="s">
        <v>680</v>
      </c>
    </row>
    <row r="881" spans="1:10" x14ac:dyDescent="0.25">
      <c r="A881" s="2">
        <v>45880</v>
      </c>
      <c r="B881" t="s">
        <v>52</v>
      </c>
      <c r="C881" s="6">
        <v>1</v>
      </c>
      <c r="D881" t="s">
        <v>49</v>
      </c>
      <c r="G881" t="s">
        <v>557</v>
      </c>
      <c r="H881" s="35" t="str">
        <f>VLOOKUP(Tableau65[[#This Row],[Utilisateur]],Tableau3[[Prenoms (ID)]:[Localisation]],2,FALSE)</f>
        <v>-</v>
      </c>
      <c r="I881" s="35" t="str">
        <f>VLOOKUP(Tableau65[[#This Row],[Utilisateur]],Tableau3[[Prenoms (ID)]:[Localisation]],3,FALSE)</f>
        <v>BIRA</v>
      </c>
      <c r="J881" s="35" t="str">
        <f>VLOOKUP(Tableau65[[#This Row],[Utilisateur]],Tableau3[[Prenoms (ID)]:[CABINET]],4,FALSE)</f>
        <v>CPA</v>
      </c>
    </row>
    <row r="882" spans="1:10" x14ac:dyDescent="0.25">
      <c r="A882" s="2">
        <v>45888</v>
      </c>
      <c r="B882" t="s">
        <v>25</v>
      </c>
      <c r="C882" s="6">
        <v>1</v>
      </c>
      <c r="D882" t="s">
        <v>49</v>
      </c>
      <c r="G882" t="s">
        <v>681</v>
      </c>
      <c r="H882" s="35" t="str">
        <f>VLOOKUP(Tableau65[[#This Row],[Utilisateur]],Tableau3[[Prenoms (ID)]:[Localisation]],2,FALSE)</f>
        <v>Admin</v>
      </c>
      <c r="I882" s="35" t="str">
        <f>VLOOKUP(Tableau65[[#This Row],[Utilisateur]],Tableau3[[Prenoms (ID)]:[Localisation]],3,FALSE)</f>
        <v>DIRECTION</v>
      </c>
      <c r="J882" s="35">
        <f>VLOOKUP(Tableau65[[#This Row],[Utilisateur]],Tableau3[[Prenoms (ID)]:[CABINET]],4,FALSE)</f>
        <v>0</v>
      </c>
    </row>
    <row r="883" spans="1:10" x14ac:dyDescent="0.25">
      <c r="A883" s="2">
        <v>45902</v>
      </c>
      <c r="B883" t="s">
        <v>52</v>
      </c>
      <c r="C883" s="6">
        <v>1</v>
      </c>
      <c r="D883" t="s">
        <v>49</v>
      </c>
      <c r="G883" t="s">
        <v>522</v>
      </c>
      <c r="H883" s="35" t="str">
        <f>VLOOKUP(Tableau65[[#This Row],[Utilisateur]],Tableau3[[Prenoms (ID)]:[Localisation]],2,FALSE)</f>
        <v>Ravaka</v>
      </c>
      <c r="I883" s="35" t="str">
        <f>VLOOKUP(Tableau65[[#This Row],[Utilisateur]],Tableau3[[Prenoms (ID)]:[Localisation]],3,FALSE)</f>
        <v>QUALITE</v>
      </c>
      <c r="J883" s="35">
        <f>VLOOKUP(Tableau65[[#This Row],[Utilisateur]],Tableau3[[Prenoms (ID)]:[CABINET]],4,FALSE)</f>
        <v>0</v>
      </c>
    </row>
    <row r="884" spans="1:10" x14ac:dyDescent="0.25">
      <c r="A884" s="2">
        <v>45903</v>
      </c>
      <c r="B884" t="s">
        <v>25</v>
      </c>
      <c r="C884" s="6">
        <v>1</v>
      </c>
      <c r="D884" t="s">
        <v>49</v>
      </c>
      <c r="G884" t="s">
        <v>682</v>
      </c>
      <c r="H884" s="35" t="str">
        <f>VLOOKUP(Tableau65[[#This Row],[Utilisateur]],Tableau3[[Prenoms (ID)]:[Localisation]],2,FALSE)</f>
        <v>Eccentive</v>
      </c>
      <c r="I884" s="35" t="str">
        <f>VLOOKUP(Tableau65[[#This Row],[Utilisateur]],Tableau3[[Prenoms (ID)]:[Localisation]],3,FALSE)</f>
        <v>ECCENTIVE</v>
      </c>
      <c r="J884" s="35">
        <f>VLOOKUP(Tableau65[[#This Row],[Utilisateur]],Tableau3[[Prenoms (ID)]:[CABINET]],4,FALSE)</f>
        <v>0</v>
      </c>
    </row>
    <row r="885" spans="1:10" x14ac:dyDescent="0.25">
      <c r="A885" s="2">
        <v>45903</v>
      </c>
      <c r="B885" t="s">
        <v>25</v>
      </c>
      <c r="C885" s="6">
        <v>1</v>
      </c>
      <c r="D885" t="s">
        <v>49</v>
      </c>
      <c r="G885" t="s">
        <v>334</v>
      </c>
      <c r="H885" s="35" t="str">
        <f>VLOOKUP(Tableau65[[#This Row],[Utilisateur]],Tableau3[[Prenoms (ID)]:[Localisation]],2,FALSE)</f>
        <v>Optique / Mirado</v>
      </c>
      <c r="I885" s="35" t="str">
        <f>VLOOKUP(Tableau65[[#This Row],[Utilisateur]],Tableau3[[Prenoms (ID)]:[Localisation]],3,FALSE)</f>
        <v>BNI1</v>
      </c>
      <c r="J885" s="35">
        <f>VLOOKUP(Tableau65[[#This Row],[Utilisateur]],Tableau3[[Prenoms (ID)]:[CABINET]],4,FALSE)</f>
        <v>0</v>
      </c>
    </row>
    <row r="886" spans="1:10" x14ac:dyDescent="0.25">
      <c r="A886" s="2">
        <v>45904</v>
      </c>
      <c r="B886" t="s">
        <v>52</v>
      </c>
      <c r="C886" s="6">
        <v>1</v>
      </c>
      <c r="D886" t="s">
        <v>49</v>
      </c>
      <c r="G886" t="s">
        <v>362</v>
      </c>
      <c r="H886" s="35" t="str">
        <f>VLOOKUP(Tableau65[[#This Row],[Utilisateur]],Tableau3[[Prenoms (ID)]:[Localisation]],2,FALSE)</f>
        <v>Optique / Mirado</v>
      </c>
      <c r="I886" s="35" t="str">
        <f>VLOOKUP(Tableau65[[#This Row],[Utilisateur]],Tableau3[[Prenoms (ID)]:[Localisation]],3,FALSE)</f>
        <v>BNI1</v>
      </c>
      <c r="J886" s="35">
        <f>VLOOKUP(Tableau65[[#This Row],[Utilisateur]],Tableau3[[Prenoms (ID)]:[CABINET]],4,FALSE)</f>
        <v>0</v>
      </c>
    </row>
    <row r="887" spans="1:10" x14ac:dyDescent="0.25">
      <c r="A887" s="2">
        <v>45905</v>
      </c>
      <c r="B887" t="s">
        <v>25</v>
      </c>
      <c r="C887" s="6">
        <v>1</v>
      </c>
      <c r="D887" t="s">
        <v>49</v>
      </c>
      <c r="G887" t="s">
        <v>362</v>
      </c>
      <c r="H887" s="35" t="str">
        <f>VLOOKUP(Tableau65[[#This Row],[Utilisateur]],Tableau3[[Prenoms (ID)]:[Localisation]],2,FALSE)</f>
        <v>Optique / Mirado</v>
      </c>
      <c r="I887" s="35" t="str">
        <f>VLOOKUP(Tableau65[[#This Row],[Utilisateur]],Tableau3[[Prenoms (ID)]:[Localisation]],3,FALSE)</f>
        <v>BNI1</v>
      </c>
      <c r="J887" s="35">
        <f>VLOOKUP(Tableau65[[#This Row],[Utilisateur]],Tableau3[[Prenoms (ID)]:[CABINET]],4,FALSE)</f>
        <v>0</v>
      </c>
    </row>
    <row r="888" spans="1:10" x14ac:dyDescent="0.25">
      <c r="A888" s="2">
        <v>45905</v>
      </c>
      <c r="B888" t="s">
        <v>25</v>
      </c>
      <c r="C888" s="6">
        <v>1</v>
      </c>
      <c r="D888" t="s">
        <v>49</v>
      </c>
      <c r="G888" t="s">
        <v>489</v>
      </c>
      <c r="H888" s="35" t="str">
        <f>VLOOKUP(Tableau65[[#This Row],[Utilisateur]],Tableau3[[Prenoms (ID)]:[Localisation]],2,FALSE)</f>
        <v>Optique / Sata</v>
      </c>
      <c r="I888" s="35" t="str">
        <f>VLOOKUP(Tableau65[[#This Row],[Utilisateur]],Tableau3[[Prenoms (ID)]:[Localisation]],3,FALSE)</f>
        <v>BNI1</v>
      </c>
      <c r="J888" s="35">
        <f>VLOOKUP(Tableau65[[#This Row],[Utilisateur]],Tableau3[[Prenoms (ID)]:[CABINET]],4,FALSE)</f>
        <v>0</v>
      </c>
    </row>
    <row r="889" spans="1:10" x14ac:dyDescent="0.25">
      <c r="A889" s="2">
        <v>45905</v>
      </c>
      <c r="B889" t="s">
        <v>58</v>
      </c>
      <c r="C889" s="6">
        <v>1</v>
      </c>
      <c r="D889" t="s">
        <v>49</v>
      </c>
      <c r="G889" t="s">
        <v>362</v>
      </c>
      <c r="H889" s="35" t="str">
        <f>VLOOKUP(Tableau65[[#This Row],[Utilisateur]],Tableau3[[Prenoms (ID)]:[Localisation]],2,FALSE)</f>
        <v>Optique / Mirado</v>
      </c>
      <c r="I889" s="35" t="str">
        <f>VLOOKUP(Tableau65[[#This Row],[Utilisateur]],Tableau3[[Prenoms (ID)]:[Localisation]],3,FALSE)</f>
        <v>BNI1</v>
      </c>
      <c r="J889" s="35">
        <f>VLOOKUP(Tableau65[[#This Row],[Utilisateur]],Tableau3[[Prenoms (ID)]:[CABINET]],4,FALSE)</f>
        <v>0</v>
      </c>
    </row>
    <row r="890" spans="1:10" x14ac:dyDescent="0.25">
      <c r="A890" s="2">
        <v>45908</v>
      </c>
      <c r="B890" t="s">
        <v>84</v>
      </c>
      <c r="C890" s="6">
        <v>1</v>
      </c>
      <c r="D890" t="s">
        <v>49</v>
      </c>
      <c r="G890" t="s">
        <v>601</v>
      </c>
      <c r="H890" s="35" t="str">
        <f>VLOOKUP(Tableau65[[#This Row],[Utilisateur]],Tableau3[[Prenoms (ID)]:[Localisation]],2,FALSE)</f>
        <v>-</v>
      </c>
      <c r="I890" s="35" t="str">
        <f>VLOOKUP(Tableau65[[#This Row],[Utilisateur]],Tableau3[[Prenoms (ID)]:[Localisation]],3,FALSE)</f>
        <v>BIRA</v>
      </c>
      <c r="J890" s="35">
        <f>VLOOKUP(Tableau65[[#This Row],[Utilisateur]],Tableau3[[Prenoms (ID)]:[CABINET]],4,FALSE)</f>
        <v>0</v>
      </c>
    </row>
    <row r="891" spans="1:10" x14ac:dyDescent="0.25">
      <c r="A891" s="2">
        <v>45908</v>
      </c>
      <c r="B891" t="s">
        <v>25</v>
      </c>
      <c r="C891" s="6">
        <v>1</v>
      </c>
      <c r="D891" t="s">
        <v>49</v>
      </c>
      <c r="G891" t="s">
        <v>507</v>
      </c>
      <c r="H891" s="35" t="str">
        <f>VLOOKUP(Tableau65[[#This Row],[Utilisateur]],Tableau3[[Prenoms (ID)]:[Localisation]],2,FALSE)</f>
        <v>Audit CPA</v>
      </c>
      <c r="I891" s="35" t="str">
        <f>VLOOKUP(Tableau65[[#This Row],[Utilisateur]],Tableau3[[Prenoms (ID)]:[Localisation]],3,FALSE)</f>
        <v>MADAFIT</v>
      </c>
      <c r="J891" s="35" t="str">
        <f>VLOOKUP(Tableau65[[#This Row],[Utilisateur]],Tableau3[[Prenoms (ID)]:[CABINET]],4,FALSE)</f>
        <v>CPA</v>
      </c>
    </row>
    <row r="892" spans="1:10" x14ac:dyDescent="0.25">
      <c r="A892" s="2">
        <v>45906</v>
      </c>
      <c r="B892" t="s">
        <v>64</v>
      </c>
      <c r="C892" s="6">
        <v>1</v>
      </c>
      <c r="D892" t="s">
        <v>49</v>
      </c>
      <c r="G892" t="s">
        <v>639</v>
      </c>
      <c r="H892" s="35" t="str">
        <f>VLOOKUP(Tableau65[[#This Row],[Utilisateur]],Tableau3[[Prenoms (ID)]:[Localisation]],2,FALSE)</f>
        <v>Apprenti</v>
      </c>
      <c r="I892" s="35" t="str">
        <f>VLOOKUP(Tableau65[[#This Row],[Utilisateur]],Tableau3[[Prenoms (ID)]:[Localisation]],3,FALSE)</f>
        <v>BIRA</v>
      </c>
      <c r="J892" s="35" t="str">
        <f>VLOOKUP(Tableau65[[#This Row],[Utilisateur]],Tableau3[[Prenoms (ID)]:[CABINET]],4,FALSE)</f>
        <v>CPA</v>
      </c>
    </row>
    <row r="893" spans="1:10" x14ac:dyDescent="0.25">
      <c r="A893" s="2">
        <v>45906</v>
      </c>
      <c r="B893" t="s">
        <v>34</v>
      </c>
      <c r="C893" s="6">
        <v>1</v>
      </c>
      <c r="D893" t="s">
        <v>49</v>
      </c>
      <c r="G893" t="s">
        <v>638</v>
      </c>
      <c r="H893" s="35" t="str">
        <f>VLOOKUP(Tableau65[[#This Row],[Utilisateur]],Tableau3[[Prenoms (ID)]:[Localisation]],2,FALSE)</f>
        <v>Apprenti</v>
      </c>
      <c r="I893" s="35" t="str">
        <f>VLOOKUP(Tableau65[[#This Row],[Utilisateur]],Tableau3[[Prenoms (ID)]:[Localisation]],3,FALSE)</f>
        <v>BIRA</v>
      </c>
      <c r="J893" s="35" t="str">
        <f>VLOOKUP(Tableau65[[#This Row],[Utilisateur]],Tableau3[[Prenoms (ID)]:[CABINET]],4,FALSE)</f>
        <v>CPA</v>
      </c>
    </row>
    <row r="894" spans="1:10" x14ac:dyDescent="0.25">
      <c r="A894" s="2">
        <v>45910</v>
      </c>
      <c r="B894" t="s">
        <v>64</v>
      </c>
      <c r="C894" s="6">
        <v>1</v>
      </c>
      <c r="D894" t="s">
        <v>49</v>
      </c>
      <c r="G894" t="s">
        <v>611</v>
      </c>
      <c r="H894" s="35" t="str">
        <f>VLOOKUP(Tableau65[[#This Row],[Utilisateur]],Tableau3[[Prenoms (ID)]:[Localisation]],2,FALSE)</f>
        <v>Apprenti</v>
      </c>
      <c r="I894" s="35" t="str">
        <f>VLOOKUP(Tableau65[[#This Row],[Utilisateur]],Tableau3[[Prenoms (ID)]:[Localisation]],3,FALSE)</f>
        <v>BIRA</v>
      </c>
      <c r="J894" s="35" t="str">
        <f>VLOOKUP(Tableau65[[#This Row],[Utilisateur]],Tableau3[[Prenoms (ID)]:[CABINET]],4,FALSE)</f>
        <v>CPA</v>
      </c>
    </row>
    <row r="895" spans="1:10" x14ac:dyDescent="0.25">
      <c r="A895" s="2">
        <v>45910</v>
      </c>
      <c r="B895" t="s">
        <v>34</v>
      </c>
      <c r="C895" s="6">
        <v>1</v>
      </c>
      <c r="D895" t="s">
        <v>49</v>
      </c>
      <c r="G895" t="s">
        <v>265</v>
      </c>
      <c r="H895" s="35" t="str">
        <f>VLOOKUP(Tableau65[[#This Row],[Utilisateur]],Tableau3[[Prenoms (ID)]:[Localisation]],2,FALSE)</f>
        <v>Admin</v>
      </c>
      <c r="I895" s="35" t="str">
        <f>VLOOKUP(Tableau65[[#This Row],[Utilisateur]],Tableau3[[Prenoms (ID)]:[Localisation]],3,FALSE)</f>
        <v>BIRA</v>
      </c>
      <c r="J895" s="35" t="str">
        <f>VLOOKUP(Tableau65[[#This Row],[Utilisateur]],Tableau3[[Prenoms (ID)]:[CABINET]],4,FALSE)</f>
        <v>CPA</v>
      </c>
    </row>
    <row r="896" spans="1:10" x14ac:dyDescent="0.25">
      <c r="A896" s="2">
        <v>45915</v>
      </c>
      <c r="B896" t="s">
        <v>52</v>
      </c>
      <c r="C896" s="6">
        <v>1</v>
      </c>
      <c r="D896" t="s">
        <v>49</v>
      </c>
      <c r="G896" t="s">
        <v>549</v>
      </c>
      <c r="H896" s="35" t="str">
        <f>VLOOKUP(Tableau65[[#This Row],[Utilisateur]],Tableau3[[Prenoms (ID)]:[Localisation]],2,FALSE)</f>
        <v>RECCI SAV</v>
      </c>
      <c r="I896" s="35" t="str">
        <f>VLOOKUP(Tableau65[[#This Row],[Utilisateur]],Tableau3[[Prenoms (ID)]:[Localisation]],3,FALSE)</f>
        <v>BNI2</v>
      </c>
      <c r="J896" s="35">
        <f>VLOOKUP(Tableau65[[#This Row],[Utilisateur]],Tableau3[[Prenoms (ID)]:[CABINET]],4,FALSE)</f>
        <v>0</v>
      </c>
    </row>
    <row r="897" spans="1:10" x14ac:dyDescent="0.25">
      <c r="A897" s="2">
        <v>45915</v>
      </c>
      <c r="B897" t="s">
        <v>52</v>
      </c>
      <c r="C897" s="6">
        <v>1</v>
      </c>
      <c r="D897" t="s">
        <v>49</v>
      </c>
      <c r="G897" t="s">
        <v>339</v>
      </c>
      <c r="H897" s="35" t="str">
        <f>VLOOKUP(Tableau65[[#This Row],[Utilisateur]],Tableau3[[Prenoms (ID)]:[Localisation]],2,FALSE)</f>
        <v>Accefi</v>
      </c>
      <c r="I897" s="35" t="str">
        <f>VLOOKUP(Tableau65[[#This Row],[Utilisateur]],Tableau3[[Prenoms (ID)]:[Localisation]],3,FALSE)</f>
        <v>ACCEFI</v>
      </c>
      <c r="J897" s="35" t="str">
        <f>VLOOKUP(Tableau65[[#This Row],[Utilisateur]],Tableau3[[Prenoms (ID)]:[CABINET]],4,FALSE)</f>
        <v>CPA</v>
      </c>
    </row>
    <row r="898" spans="1:10" x14ac:dyDescent="0.25">
      <c r="A898" s="2">
        <v>45916</v>
      </c>
      <c r="B898" t="s">
        <v>52</v>
      </c>
      <c r="C898" s="6">
        <v>1</v>
      </c>
      <c r="D898" t="s">
        <v>49</v>
      </c>
      <c r="G898" t="s">
        <v>467</v>
      </c>
      <c r="H898" s="35" t="str">
        <f>VLOOKUP(Tableau65[[#This Row],[Utilisateur]],Tableau3[[Prenoms (ID)]:[Localisation]],2,FALSE)</f>
        <v>Optique / Sata</v>
      </c>
      <c r="I898" s="35" t="str">
        <f>VLOOKUP(Tableau65[[#This Row],[Utilisateur]],Tableau3[[Prenoms (ID)]:[Localisation]],3,FALSE)</f>
        <v>BNI1</v>
      </c>
      <c r="J898" s="35">
        <f>VLOOKUP(Tableau65[[#This Row],[Utilisateur]],Tableau3[[Prenoms (ID)]:[CABINET]],4,FALSE)</f>
        <v>0</v>
      </c>
    </row>
    <row r="899" spans="1:10" x14ac:dyDescent="0.25">
      <c r="A899" s="2">
        <v>45917</v>
      </c>
      <c r="B899" t="s">
        <v>52</v>
      </c>
      <c r="C899" s="6">
        <v>1</v>
      </c>
      <c r="D899" t="s">
        <v>49</v>
      </c>
      <c r="G899" t="s">
        <v>324</v>
      </c>
      <c r="H899" s="35" t="str">
        <f>VLOOKUP(Tableau65[[#This Row],[Utilisateur]],Tableau3[[Prenoms (ID)]:[Localisation]],2,FALSE)</f>
        <v>Optique / Mirado</v>
      </c>
      <c r="I899" s="35" t="str">
        <f>VLOOKUP(Tableau65[[#This Row],[Utilisateur]],Tableau3[[Prenoms (ID)]:[Localisation]],3,FALSE)</f>
        <v>BNI1</v>
      </c>
      <c r="J899" s="35">
        <f>VLOOKUP(Tableau65[[#This Row],[Utilisateur]],Tableau3[[Prenoms (ID)]:[CABINET]],4,FALSE)</f>
        <v>0</v>
      </c>
    </row>
    <row r="900" spans="1:10" x14ac:dyDescent="0.25">
      <c r="A900" s="2">
        <v>45917</v>
      </c>
      <c r="B900" t="s">
        <v>52</v>
      </c>
      <c r="C900" s="6">
        <v>1</v>
      </c>
      <c r="D900" t="s">
        <v>49</v>
      </c>
      <c r="G900" t="s">
        <v>603</v>
      </c>
      <c r="H900" s="35" t="str">
        <f>VLOOKUP(Tableau65[[#This Row],[Utilisateur]],Tableau3[[Prenoms (ID)]:[Localisation]],2,FALSE)</f>
        <v>Informatique</v>
      </c>
      <c r="I900" s="35" t="str">
        <f>VLOOKUP(Tableau65[[#This Row],[Utilisateur]],Tableau3[[Prenoms (ID)]:[Localisation]],3,FALSE)</f>
        <v>BNI1</v>
      </c>
      <c r="J900" s="35">
        <f>VLOOKUP(Tableau65[[#This Row],[Utilisateur]],Tableau3[[Prenoms (ID)]:[CABINET]],4,FALSE)</f>
        <v>0</v>
      </c>
    </row>
    <row r="901" spans="1:10" x14ac:dyDescent="0.25">
      <c r="A901" s="2">
        <v>45917</v>
      </c>
      <c r="B901" t="s">
        <v>58</v>
      </c>
      <c r="C901" s="6">
        <v>1</v>
      </c>
      <c r="D901" t="s">
        <v>49</v>
      </c>
      <c r="G901" t="s">
        <v>514</v>
      </c>
      <c r="H901" s="35" t="str">
        <f>VLOOKUP(Tableau65[[#This Row],[Utilisateur]],Tableau3[[Prenoms (ID)]:[Localisation]],2,FALSE)</f>
        <v>RECCI / Lalaina</v>
      </c>
      <c r="I901" s="35" t="str">
        <f>VLOOKUP(Tableau65[[#This Row],[Utilisateur]],Tableau3[[Prenoms (ID)]:[Localisation]],3,FALSE)</f>
        <v>BNI2</v>
      </c>
      <c r="J901" s="35">
        <f>VLOOKUP(Tableau65[[#This Row],[Utilisateur]],Tableau3[[Prenoms (ID)]:[CABINET]],4,FALSE)</f>
        <v>0</v>
      </c>
    </row>
    <row r="902" spans="1:10" x14ac:dyDescent="0.25">
      <c r="A902" s="2">
        <v>45917</v>
      </c>
      <c r="B902" t="s">
        <v>52</v>
      </c>
      <c r="C902" s="6">
        <v>1</v>
      </c>
      <c r="D902" t="s">
        <v>49</v>
      </c>
      <c r="G902" t="s">
        <v>258</v>
      </c>
      <c r="H902" s="35" t="str">
        <f>VLOOKUP(Tableau65[[#This Row],[Utilisateur]],Tableau3[[Prenoms (ID)]:[Localisation]],2,FALSE)</f>
        <v>RECCI SAV</v>
      </c>
      <c r="I902" s="35" t="str">
        <f>VLOOKUP(Tableau65[[#This Row],[Utilisateur]],Tableau3[[Prenoms (ID)]:[Localisation]],3,FALSE)</f>
        <v>BNI2</v>
      </c>
      <c r="J902" s="35">
        <f>VLOOKUP(Tableau65[[#This Row],[Utilisateur]],Tableau3[[Prenoms (ID)]:[CABINET]],4,FALSE)</f>
        <v>0</v>
      </c>
    </row>
    <row r="903" spans="1:10" x14ac:dyDescent="0.25">
      <c r="A903" s="2">
        <v>45918</v>
      </c>
      <c r="B903" t="s">
        <v>52</v>
      </c>
      <c r="C903" s="6">
        <v>1</v>
      </c>
      <c r="D903" t="s">
        <v>49</v>
      </c>
      <c r="G903" t="s">
        <v>46</v>
      </c>
      <c r="H903" s="35" t="str">
        <f>VLOOKUP(Tableau65[[#This Row],[Utilisateur]],Tableau3[[Prenoms (ID)]:[Localisation]],2,FALSE)</f>
        <v>Audit CPA</v>
      </c>
      <c r="I903" s="35" t="str">
        <f>VLOOKUP(Tableau65[[#This Row],[Utilisateur]],Tableau3[[Prenoms (ID)]:[Localisation]],3,FALSE)</f>
        <v>AUDIT-CPA</v>
      </c>
      <c r="J903" s="35" t="str">
        <f>VLOOKUP(Tableau65[[#This Row],[Utilisateur]],Tableau3[[Prenoms (ID)]:[CABINET]],4,FALSE)</f>
        <v>CPA</v>
      </c>
    </row>
    <row r="904" spans="1:10" x14ac:dyDescent="0.25">
      <c r="A904" s="2">
        <v>45918</v>
      </c>
      <c r="B904" t="s">
        <v>52</v>
      </c>
      <c r="C904" s="6">
        <v>1</v>
      </c>
      <c r="D904" t="s">
        <v>49</v>
      </c>
      <c r="G904" t="s">
        <v>555</v>
      </c>
      <c r="H904" s="35" t="str">
        <f>VLOOKUP(Tableau65[[#This Row],[Utilisateur]],Tableau3[[Prenoms (ID)]:[Localisation]],2,FALSE)</f>
        <v>Audit CPA</v>
      </c>
      <c r="I904" s="35" t="str">
        <f>VLOOKUP(Tableau65[[#This Row],[Utilisateur]],Tableau3[[Prenoms (ID)]:[Localisation]],3,FALSE)</f>
        <v>AUDIT-CPA</v>
      </c>
      <c r="J904" s="35" t="str">
        <f>VLOOKUP(Tableau65[[#This Row],[Utilisateur]],Tableau3[[Prenoms (ID)]:[CABINET]],4,FALSE)</f>
        <v>CPA</v>
      </c>
    </row>
    <row r="905" spans="1:10" x14ac:dyDescent="0.25">
      <c r="A905" s="2">
        <v>45918</v>
      </c>
      <c r="B905" t="s">
        <v>52</v>
      </c>
      <c r="C905" s="6">
        <v>1</v>
      </c>
      <c r="D905" t="s">
        <v>49</v>
      </c>
      <c r="G905" t="s">
        <v>457</v>
      </c>
      <c r="H905" s="35" t="str">
        <f>VLOOKUP(Tableau65[[#This Row],[Utilisateur]],Tableau3[[Prenoms (ID)]:[Localisation]],2,FALSE)</f>
        <v>Audit CPA</v>
      </c>
      <c r="I905" s="35" t="str">
        <f>VLOOKUP(Tableau65[[#This Row],[Utilisateur]],Tableau3[[Prenoms (ID)]:[Localisation]],3,FALSE)</f>
        <v>AUDIT-CPA</v>
      </c>
      <c r="J905" s="35" t="str">
        <f>VLOOKUP(Tableau65[[#This Row],[Utilisateur]],Tableau3[[Prenoms (ID)]:[CABINET]],4,FALSE)</f>
        <v>CPA</v>
      </c>
    </row>
    <row r="906" spans="1:10" x14ac:dyDescent="0.25">
      <c r="A906" s="2">
        <v>45918</v>
      </c>
      <c r="B906" t="s">
        <v>52</v>
      </c>
      <c r="C906" s="6">
        <v>1</v>
      </c>
      <c r="D906" t="s">
        <v>49</v>
      </c>
      <c r="G906" t="s">
        <v>546</v>
      </c>
      <c r="H906" s="35" t="str">
        <f>VLOOKUP(Tableau65[[#This Row],[Utilisateur]],Tableau3[[Prenoms (ID)]:[Localisation]],2,FALSE)</f>
        <v>Audit CPA</v>
      </c>
      <c r="I906" s="35" t="str">
        <f>VLOOKUP(Tableau65[[#This Row],[Utilisateur]],Tableau3[[Prenoms (ID)]:[Localisation]],3,FALSE)</f>
        <v>AUDIT-CPA</v>
      </c>
      <c r="J906" s="35" t="str">
        <f>VLOOKUP(Tableau65[[#This Row],[Utilisateur]],Tableau3[[Prenoms (ID)]:[CABINET]],4,FALSE)</f>
        <v>CPA</v>
      </c>
    </row>
    <row r="907" spans="1:10" x14ac:dyDescent="0.25">
      <c r="A907" s="2">
        <v>45918</v>
      </c>
      <c r="B907" t="s">
        <v>52</v>
      </c>
      <c r="C907" s="6">
        <v>1</v>
      </c>
      <c r="D907" t="s">
        <v>49</v>
      </c>
      <c r="G907" t="s">
        <v>514</v>
      </c>
      <c r="H907" s="35" t="str">
        <f>VLOOKUP(Tableau65[[#This Row],[Utilisateur]],Tableau3[[Prenoms (ID)]:[Localisation]],2,FALSE)</f>
        <v>RECCI / Lalaina</v>
      </c>
      <c r="I907" s="35" t="str">
        <f>VLOOKUP(Tableau65[[#This Row],[Utilisateur]],Tableau3[[Prenoms (ID)]:[Localisation]],3,FALSE)</f>
        <v>BNI2</v>
      </c>
      <c r="J907" s="35">
        <f>VLOOKUP(Tableau65[[#This Row],[Utilisateur]],Tableau3[[Prenoms (ID)]:[CABINET]],4,FALSE)</f>
        <v>0</v>
      </c>
    </row>
    <row r="908" spans="1:10" x14ac:dyDescent="0.25">
      <c r="A908" s="2">
        <v>45924</v>
      </c>
      <c r="B908" t="s">
        <v>52</v>
      </c>
      <c r="C908" s="6">
        <v>1</v>
      </c>
      <c r="D908" t="s">
        <v>49</v>
      </c>
      <c r="G908" t="s">
        <v>318</v>
      </c>
      <c r="H908" s="35" t="str">
        <f>VLOOKUP(Tableau65[[#This Row],[Utilisateur]],Tableau3[[Prenoms (ID)]:[Localisation]],2,FALSE)</f>
        <v>Xperia</v>
      </c>
      <c r="I908" s="35" t="str">
        <f>VLOOKUP(Tableau65[[#This Row],[Utilisateur]],Tableau3[[Prenoms (ID)]:[Localisation]],3,FALSE)</f>
        <v>SOCIAL</v>
      </c>
      <c r="J908" s="35">
        <f>VLOOKUP(Tableau65[[#This Row],[Utilisateur]],Tableau3[[Prenoms (ID)]:[CABINET]],4,FALSE)</f>
        <v>0</v>
      </c>
    </row>
    <row r="909" spans="1:10" x14ac:dyDescent="0.25">
      <c r="A909" s="2">
        <v>45924</v>
      </c>
      <c r="B909" t="s">
        <v>52</v>
      </c>
      <c r="C909" s="6">
        <v>1</v>
      </c>
      <c r="D909" t="s">
        <v>49</v>
      </c>
      <c r="G909" t="s">
        <v>429</v>
      </c>
      <c r="H909" s="35" t="str">
        <f>VLOOKUP(Tableau65[[#This Row],[Utilisateur]],Tableau3[[Prenoms (ID)]:[Localisation]],2,FALSE)</f>
        <v>Audit CPA</v>
      </c>
      <c r="I909" s="35" t="str">
        <f>VLOOKUP(Tableau65[[#This Row],[Utilisateur]],Tableau3[[Prenoms (ID)]:[Localisation]],3,FALSE)</f>
        <v>MADAFIT</v>
      </c>
      <c r="J909" s="35" t="str">
        <f>VLOOKUP(Tableau65[[#This Row],[Utilisateur]],Tableau3[[Prenoms (ID)]:[CABINET]],4,FALSE)</f>
        <v>CPA</v>
      </c>
    </row>
    <row r="910" spans="1:10" x14ac:dyDescent="0.25">
      <c r="A910" s="2">
        <v>45931</v>
      </c>
      <c r="B910" t="s">
        <v>52</v>
      </c>
      <c r="C910" s="6">
        <v>1</v>
      </c>
      <c r="D910" t="s">
        <v>49</v>
      </c>
      <c r="G910" t="s">
        <v>655</v>
      </c>
      <c r="H910" s="35" t="str">
        <f>VLOOKUP(Tableau65[[#This Row],[Utilisateur]],Tableau3[[Prenoms (ID)]:[Localisation]],2,FALSE)</f>
        <v>-</v>
      </c>
      <c r="I910" s="35" t="str">
        <f>VLOOKUP(Tableau65[[#This Row],[Utilisateur]],Tableau3[[Prenoms (ID)]:[Localisation]],3,FALSE)</f>
        <v>BIRA</v>
      </c>
      <c r="J910" s="35">
        <f>VLOOKUP(Tableau65[[#This Row],[Utilisateur]],Tableau3[[Prenoms (ID)]:[CABINET]],4,FALSE)</f>
        <v>0</v>
      </c>
    </row>
    <row r="911" spans="1:10" x14ac:dyDescent="0.25">
      <c r="A911" s="2">
        <v>45931</v>
      </c>
      <c r="B911" t="s">
        <v>52</v>
      </c>
      <c r="C911" s="6">
        <v>1</v>
      </c>
      <c r="D911" t="s">
        <v>49</v>
      </c>
      <c r="G911" t="s">
        <v>363</v>
      </c>
      <c r="H911" s="35" t="str">
        <f>VLOOKUP(Tableau65[[#This Row],[Utilisateur]],Tableau3[[Prenoms (ID)]:[Localisation]],2,FALSE)</f>
        <v>Apprenti</v>
      </c>
      <c r="I911" s="35" t="str">
        <f>VLOOKUP(Tableau65[[#This Row],[Utilisateur]],Tableau3[[Prenoms (ID)]:[Localisation]],3,FALSE)</f>
        <v>-</v>
      </c>
      <c r="J911" s="35">
        <f>VLOOKUP(Tableau65[[#This Row],[Utilisateur]],Tableau3[[Prenoms (ID)]:[CABINET]],4,FALSE)</f>
        <v>0</v>
      </c>
    </row>
    <row r="912" spans="1:10" x14ac:dyDescent="0.25">
      <c r="A912" s="2">
        <v>45931</v>
      </c>
      <c r="B912" t="s">
        <v>52</v>
      </c>
      <c r="C912" s="6">
        <v>1</v>
      </c>
      <c r="D912" t="s">
        <v>49</v>
      </c>
      <c r="G912" t="s">
        <v>367</v>
      </c>
      <c r="H912" s="35" t="str">
        <f>VLOOKUP(Tableau65[[#This Row],[Utilisateur]],Tableau3[[Prenoms (ID)]:[Localisation]],2,FALSE)</f>
        <v>RECCI / Njato Be</v>
      </c>
      <c r="I912" s="35" t="str">
        <f>VLOOKUP(Tableau65[[#This Row],[Utilisateur]],Tableau3[[Prenoms (ID)]:[Localisation]],3,FALSE)</f>
        <v>BNI2</v>
      </c>
      <c r="J912" s="35">
        <f>VLOOKUP(Tableau65[[#This Row],[Utilisateur]],Tableau3[[Prenoms (ID)]:[CABINET]],4,FALSE)</f>
        <v>0</v>
      </c>
    </row>
    <row r="913" spans="1:10" x14ac:dyDescent="0.25">
      <c r="A913" s="2">
        <v>45931</v>
      </c>
      <c r="B913" t="s">
        <v>52</v>
      </c>
      <c r="C913" s="6">
        <v>1</v>
      </c>
      <c r="D913" t="s">
        <v>49</v>
      </c>
      <c r="G913" t="s">
        <v>496</v>
      </c>
      <c r="H913" s="35" t="str">
        <f>VLOOKUP(Tableau65[[#This Row],[Utilisateur]],Tableau3[[Prenoms (ID)]:[Localisation]],2,FALSE)</f>
        <v>RECCI / Njato Be</v>
      </c>
      <c r="I913" s="35" t="str">
        <f>VLOOKUP(Tableau65[[#This Row],[Utilisateur]],Tableau3[[Prenoms (ID)]:[Localisation]],3,FALSE)</f>
        <v>BNI2</v>
      </c>
      <c r="J913" s="35">
        <f>VLOOKUP(Tableau65[[#This Row],[Utilisateur]],Tableau3[[Prenoms (ID)]:[CABINET]],4,FALSE)</f>
        <v>0</v>
      </c>
    </row>
    <row r="914" spans="1:10" x14ac:dyDescent="0.25">
      <c r="A914" s="2">
        <v>45936</v>
      </c>
      <c r="B914" t="s">
        <v>52</v>
      </c>
      <c r="C914" s="6">
        <v>1</v>
      </c>
      <c r="D914" t="s">
        <v>49</v>
      </c>
      <c r="G914" t="s">
        <v>683</v>
      </c>
      <c r="H914" s="35" t="str">
        <f>VLOOKUP(Tableau65[[#This Row],[Utilisateur]],Tableau3[[Prenoms (ID)]:[Localisation]],2,FALSE)</f>
        <v>Apprenti</v>
      </c>
      <c r="I914" s="35" t="str">
        <f>VLOOKUP(Tableau65[[#This Row],[Utilisateur]],Tableau3[[Prenoms (ID)]:[Localisation]],3,FALSE)</f>
        <v>MATURA</v>
      </c>
      <c r="J914" s="35">
        <f>VLOOKUP(Tableau65[[#This Row],[Utilisateur]],Tableau3[[Prenoms (ID)]:[CABINET]],4,FALSE)</f>
        <v>0</v>
      </c>
    </row>
    <row r="915" spans="1:10" x14ac:dyDescent="0.25">
      <c r="A915" s="2">
        <v>45936</v>
      </c>
      <c r="B915" t="s">
        <v>52</v>
      </c>
      <c r="C915" s="6">
        <v>1</v>
      </c>
      <c r="D915" t="s">
        <v>49</v>
      </c>
      <c r="G915" t="s">
        <v>260</v>
      </c>
      <c r="H915" s="35" t="str">
        <f>VLOOKUP(Tableau65[[#This Row],[Utilisateur]],Tableau3[[Prenoms (ID)]:[Localisation]],2,FALSE)</f>
        <v>Audit CPA</v>
      </c>
      <c r="I915" s="35" t="str">
        <f>VLOOKUP(Tableau65[[#This Row],[Utilisateur]],Tableau3[[Prenoms (ID)]:[Localisation]],3,FALSE)</f>
        <v>AUDIT-CPA</v>
      </c>
      <c r="J915" s="35" t="str">
        <f>VLOOKUP(Tableau65[[#This Row],[Utilisateur]],Tableau3[[Prenoms (ID)]:[CABINET]],4,FALSE)</f>
        <v>CPA</v>
      </c>
    </row>
    <row r="916" spans="1:10" x14ac:dyDescent="0.25">
      <c r="A916" s="2">
        <v>45936</v>
      </c>
      <c r="B916" t="s">
        <v>52</v>
      </c>
      <c r="C916" s="6">
        <v>1</v>
      </c>
      <c r="D916" t="s">
        <v>49</v>
      </c>
      <c r="G916" t="s">
        <v>684</v>
      </c>
      <c r="H916" s="35">
        <f>VLOOKUP(Tableau65[[#This Row],[Utilisateur]],Tableau3[[Prenoms (ID)]:[Localisation]],2,FALSE)</f>
        <v>0</v>
      </c>
      <c r="I916" s="35" t="str">
        <f>VLOOKUP(Tableau65[[#This Row],[Utilisateur]],Tableau3[[Prenoms (ID)]:[Localisation]],3,FALSE)</f>
        <v>Madafit</v>
      </c>
      <c r="J916" s="35">
        <f>VLOOKUP(Tableau65[[#This Row],[Utilisateur]],Tableau3[[Prenoms (ID)]:[CABINET]],4,FALSE)</f>
        <v>0</v>
      </c>
    </row>
    <row r="917" spans="1:10" x14ac:dyDescent="0.25">
      <c r="A917" s="2">
        <v>45936</v>
      </c>
      <c r="B917" t="s">
        <v>52</v>
      </c>
      <c r="C917" s="6">
        <v>1</v>
      </c>
      <c r="D917" t="s">
        <v>49</v>
      </c>
      <c r="G917" t="s">
        <v>685</v>
      </c>
      <c r="H917" s="35" t="str">
        <f>VLOOKUP(Tableau65[[#This Row],[Utilisateur]],Tableau3[[Prenoms (ID)]:[Localisation]],2,FALSE)</f>
        <v>Info/Dev</v>
      </c>
      <c r="I917" s="35" t="str">
        <f>VLOOKUP(Tableau65[[#This Row],[Utilisateur]],Tableau3[[Prenoms (ID)]:[Localisation]],3,FALSE)</f>
        <v>Informatique</v>
      </c>
      <c r="J917" s="35">
        <f>VLOOKUP(Tableau65[[#This Row],[Utilisateur]],Tableau3[[Prenoms (ID)]:[CABINET]],4,FALSE)</f>
        <v>0</v>
      </c>
    </row>
    <row r="918" spans="1:10" x14ac:dyDescent="0.25">
      <c r="A918" s="2">
        <v>45936</v>
      </c>
      <c r="B918" t="s">
        <v>52</v>
      </c>
      <c r="C918" s="6">
        <v>1</v>
      </c>
      <c r="D918" t="s">
        <v>49</v>
      </c>
      <c r="E918" t="s">
        <v>686</v>
      </c>
      <c r="G918" t="s">
        <v>687</v>
      </c>
      <c r="H918" s="35" t="str">
        <f>VLOOKUP(Tableau65[[#This Row],[Utilisateur]],Tableau3[[Prenoms (ID)]:[Localisation]],2,FALSE)</f>
        <v>DEV</v>
      </c>
      <c r="I918" s="35" t="str">
        <f>VLOOKUP(Tableau65[[#This Row],[Utilisateur]],Tableau3[[Prenoms (ID)]:[Localisation]],3,FALSE)</f>
        <v>MADAFIT</v>
      </c>
      <c r="J918" s="35">
        <f>VLOOKUP(Tableau65[[#This Row],[Utilisateur]],Tableau3[[Prenoms (ID)]:[CABINET]],4,FALSE)</f>
        <v>0</v>
      </c>
    </row>
    <row r="919" spans="1:10" x14ac:dyDescent="0.25">
      <c r="A919" s="2">
        <v>45936</v>
      </c>
      <c r="B919" t="s">
        <v>24</v>
      </c>
      <c r="C919" s="6">
        <v>1</v>
      </c>
      <c r="D919" t="s">
        <v>49</v>
      </c>
      <c r="E919" t="s">
        <v>686</v>
      </c>
      <c r="G919" t="s">
        <v>687</v>
      </c>
      <c r="H919" s="35" t="str">
        <f>VLOOKUP(Tableau65[[#This Row],[Utilisateur]],Tableau3[[Prenoms (ID)]:[Localisation]],2,FALSE)</f>
        <v>DEV</v>
      </c>
      <c r="I919" s="35" t="str">
        <f>VLOOKUP(Tableau65[[#This Row],[Utilisateur]],Tableau3[[Prenoms (ID)]:[Localisation]],3,FALSE)</f>
        <v>MADAFIT</v>
      </c>
      <c r="J919" s="35">
        <f>VLOOKUP(Tableau65[[#This Row],[Utilisateur]],Tableau3[[Prenoms (ID)]:[CABINET]],4,FALSE)</f>
        <v>0</v>
      </c>
    </row>
    <row r="920" spans="1:10" x14ac:dyDescent="0.25">
      <c r="A920" s="2">
        <v>45950</v>
      </c>
      <c r="B920" t="s">
        <v>139</v>
      </c>
      <c r="C920" s="6">
        <v>1</v>
      </c>
      <c r="D920" t="s">
        <v>49</v>
      </c>
      <c r="G920" t="s">
        <v>283</v>
      </c>
      <c r="H920" s="35" t="str">
        <f>VLOOKUP(Tableau65[[#This Row],[Utilisateur]],Tableau3[[Prenoms (ID)]:[Localisation]],2,FALSE)</f>
        <v>Info</v>
      </c>
      <c r="I920" s="35" t="str">
        <f>VLOOKUP(Tableau65[[#This Row],[Utilisateur]],Tableau3[[Prenoms (ID)]:[Localisation]],3,FALSE)</f>
        <v>BIRA</v>
      </c>
      <c r="J920" s="35" t="str">
        <f>VLOOKUP(Tableau65[[#This Row],[Utilisateur]],Tableau3[[Prenoms (ID)]:[CABINET]],4,FALSE)</f>
        <v>CPA</v>
      </c>
    </row>
    <row r="921" spans="1:10" x14ac:dyDescent="0.25">
      <c r="A921" s="2">
        <v>45951</v>
      </c>
      <c r="B921" t="s">
        <v>52</v>
      </c>
      <c r="C921" s="6">
        <v>1</v>
      </c>
      <c r="D921" t="s">
        <v>49</v>
      </c>
      <c r="G921" t="s">
        <v>542</v>
      </c>
      <c r="H921" s="35" t="str">
        <f>VLOOKUP(Tableau65[[#This Row],[Utilisateur]],Tableau3[[Prenoms (ID)]:[Localisation]],2,FALSE)</f>
        <v>Audit CPA</v>
      </c>
      <c r="I921" s="35" t="str">
        <f>VLOOKUP(Tableau65[[#This Row],[Utilisateur]],Tableau3[[Prenoms (ID)]:[Localisation]],3,FALSE)</f>
        <v>AUDIT-CPA</v>
      </c>
      <c r="J921" s="35" t="str">
        <f>VLOOKUP(Tableau65[[#This Row],[Utilisateur]],Tableau3[[Prenoms (ID)]:[CABINET]],4,FALSE)</f>
        <v>CPA</v>
      </c>
    </row>
    <row r="922" spans="1:10" x14ac:dyDescent="0.25">
      <c r="A922" s="2">
        <v>45951</v>
      </c>
      <c r="B922" t="s">
        <v>52</v>
      </c>
      <c r="C922" s="6">
        <v>1</v>
      </c>
      <c r="D922" t="s">
        <v>49</v>
      </c>
      <c r="G922" t="s">
        <v>552</v>
      </c>
      <c r="H922" s="35" t="str">
        <f>VLOOKUP(Tableau65[[#This Row],[Utilisateur]],Tableau3[[Prenoms (ID)]:[Localisation]],2,FALSE)</f>
        <v>Paie</v>
      </c>
      <c r="I922" s="35" t="str">
        <f>VLOOKUP(Tableau65[[#This Row],[Utilisateur]],Tableau3[[Prenoms (ID)]:[Localisation]],3,FALSE)</f>
        <v>BNI1</v>
      </c>
      <c r="J922" s="35">
        <f>VLOOKUP(Tableau65[[#This Row],[Utilisateur]],Tableau3[[Prenoms (ID)]:[CABINET]],4,FALSE)</f>
        <v>0</v>
      </c>
    </row>
    <row r="923" spans="1:10" x14ac:dyDescent="0.25">
      <c r="A923" s="2">
        <v>45952</v>
      </c>
      <c r="B923" t="s">
        <v>52</v>
      </c>
      <c r="C923" s="6">
        <v>1</v>
      </c>
      <c r="D923" t="s">
        <v>49</v>
      </c>
      <c r="G923" t="s">
        <v>547</v>
      </c>
      <c r="H923" s="35" t="str">
        <f>VLOOKUP(Tableau65[[#This Row],[Utilisateur]],Tableau3[[Prenoms (ID)]:[Localisation]],2,FALSE)</f>
        <v>Accefi</v>
      </c>
      <c r="I923" s="35" t="str">
        <f>VLOOKUP(Tableau65[[#This Row],[Utilisateur]],Tableau3[[Prenoms (ID)]:[Localisation]],3,FALSE)</f>
        <v>ACCEFI</v>
      </c>
      <c r="J923" s="35">
        <f>VLOOKUP(Tableau65[[#This Row],[Utilisateur]],Tableau3[[Prenoms (ID)]:[CABINET]],4,FALSE)</f>
        <v>0</v>
      </c>
    </row>
    <row r="924" spans="1:10" x14ac:dyDescent="0.25">
      <c r="A924" s="2">
        <v>45952</v>
      </c>
      <c r="B924" t="s">
        <v>52</v>
      </c>
      <c r="C924" s="6">
        <v>1</v>
      </c>
      <c r="D924" t="s">
        <v>49</v>
      </c>
      <c r="G924" t="s">
        <v>425</v>
      </c>
      <c r="H924" s="35" t="str">
        <f>VLOOKUP(Tableau65[[#This Row],[Utilisateur]],Tableau3[[Prenoms (ID)]:[Localisation]],2,FALSE)</f>
        <v>Accefi</v>
      </c>
      <c r="I924" s="35" t="str">
        <f>VLOOKUP(Tableau65[[#This Row],[Utilisateur]],Tableau3[[Prenoms (ID)]:[Localisation]],3,FALSE)</f>
        <v>ACCEFI</v>
      </c>
      <c r="J924" s="35" t="str">
        <f>VLOOKUP(Tableau65[[#This Row],[Utilisateur]],Tableau3[[Prenoms (ID)]:[CABINET]],4,FALSE)</f>
        <v>CPA</v>
      </c>
    </row>
    <row r="925" spans="1:10" x14ac:dyDescent="0.25">
      <c r="A925" s="2">
        <v>45953</v>
      </c>
      <c r="B925" t="s">
        <v>52</v>
      </c>
      <c r="C925" s="6">
        <v>1</v>
      </c>
      <c r="D925" t="s">
        <v>49</v>
      </c>
      <c r="G925" t="s">
        <v>179</v>
      </c>
      <c r="H925" s="35" t="str">
        <f>VLOOKUP(Tableau65[[#This Row],[Utilisateur]],Tableau3[[Prenoms (ID)]:[Localisation]],2,FALSE)</f>
        <v>ECCENTIVE</v>
      </c>
      <c r="I925" s="35" t="str">
        <f>VLOOKUP(Tableau65[[#This Row],[Utilisateur]],Tableau3[[Prenoms (ID)]:[Localisation]],3,FALSE)</f>
        <v>MADAFIT</v>
      </c>
      <c r="J925" s="35">
        <f>VLOOKUP(Tableau65[[#This Row],[Utilisateur]],Tableau3[[Prenoms (ID)]:[CABINET]],4,FALSE)</f>
        <v>0</v>
      </c>
    </row>
    <row r="926" spans="1:10" x14ac:dyDescent="0.25">
      <c r="A926" s="2">
        <v>45953</v>
      </c>
      <c r="B926" t="s">
        <v>52</v>
      </c>
      <c r="C926" s="6">
        <v>1</v>
      </c>
      <c r="D926" t="s">
        <v>49</v>
      </c>
      <c r="G926" t="s">
        <v>671</v>
      </c>
      <c r="H926" s="35">
        <f>VLOOKUP(Tableau65[[#This Row],[Utilisateur]],Tableau3[[Prenoms (ID)]:[Localisation]],2,FALSE)</f>
        <v>0</v>
      </c>
      <c r="I926" s="35" t="str">
        <f>VLOOKUP(Tableau65[[#This Row],[Utilisateur]],Tableau3[[Prenoms (ID)]:[Localisation]],3,FALSE)</f>
        <v>Madafit</v>
      </c>
      <c r="J926" s="35">
        <f>VLOOKUP(Tableau65[[#This Row],[Utilisateur]],Tableau3[[Prenoms (ID)]:[CABINET]],4,FALSE)</f>
        <v>0</v>
      </c>
    </row>
    <row r="927" spans="1:10" x14ac:dyDescent="0.25">
      <c r="A927" s="2">
        <v>45954</v>
      </c>
      <c r="B927" t="s">
        <v>52</v>
      </c>
      <c r="C927" s="6">
        <v>1</v>
      </c>
      <c r="D927" t="s">
        <v>49</v>
      </c>
      <c r="G927" t="s">
        <v>214</v>
      </c>
      <c r="H927" s="35" t="str">
        <f>VLOOKUP(Tableau65[[#This Row],[Utilisateur]],Tableau3[[Prenoms (ID)]:[Localisation]],2,FALSE)</f>
        <v>ACCEFI</v>
      </c>
      <c r="I927" s="35" t="str">
        <f>VLOOKUP(Tableau65[[#This Row],[Utilisateur]],Tableau3[[Prenoms (ID)]:[Localisation]],3,FALSE)</f>
        <v>CENTRE</v>
      </c>
      <c r="J927" s="35">
        <f>VLOOKUP(Tableau65[[#This Row],[Utilisateur]],Tableau3[[Prenoms (ID)]:[CABINET]],4,FALSE)</f>
        <v>0</v>
      </c>
    </row>
    <row r="928" spans="1:10" x14ac:dyDescent="0.25">
      <c r="A928" s="2">
        <v>45957</v>
      </c>
      <c r="B928" t="s">
        <v>52</v>
      </c>
      <c r="C928" s="6">
        <v>1</v>
      </c>
      <c r="D928" t="s">
        <v>49</v>
      </c>
      <c r="G928" t="s">
        <v>635</v>
      </c>
      <c r="H928" s="35" t="str">
        <f>VLOOKUP(Tableau65[[#This Row],[Utilisateur]],Tableau3[[Prenoms (ID)]:[Localisation]],2,FALSE)</f>
        <v>Apprenti</v>
      </c>
      <c r="I928" s="35" t="str">
        <f>VLOOKUP(Tableau65[[#This Row],[Utilisateur]],Tableau3[[Prenoms (ID)]:[Localisation]],3,FALSE)</f>
        <v>-</v>
      </c>
      <c r="J928" s="35">
        <f>VLOOKUP(Tableau65[[#This Row],[Utilisateur]],Tableau3[[Prenoms (ID)]:[CABINET]],4,FALSE)</f>
        <v>0</v>
      </c>
    </row>
    <row r="929" spans="1:10" x14ac:dyDescent="0.25">
      <c r="A929" s="2">
        <v>45957</v>
      </c>
      <c r="B929" t="s">
        <v>52</v>
      </c>
      <c r="C929" s="6">
        <v>1</v>
      </c>
      <c r="D929" t="s">
        <v>49</v>
      </c>
      <c r="G929" t="s">
        <v>484</v>
      </c>
      <c r="H929" s="35" t="str">
        <f>VLOOKUP(Tableau65[[#This Row],[Utilisateur]],Tableau3[[Prenoms (ID)]:[Localisation]],2,FALSE)</f>
        <v>Info/Dev</v>
      </c>
      <c r="I929" s="35" t="str">
        <f>VLOOKUP(Tableau65[[#This Row],[Utilisateur]],Tableau3[[Prenoms (ID)]:[Localisation]],3,FALSE)</f>
        <v>Informatique</v>
      </c>
      <c r="J929" s="35">
        <f>VLOOKUP(Tableau65[[#This Row],[Utilisateur]],Tableau3[[Prenoms (ID)]:[CABINET]],4,FALSE)</f>
        <v>0</v>
      </c>
    </row>
    <row r="930" spans="1:10" x14ac:dyDescent="0.25">
      <c r="A930" s="2">
        <v>45957</v>
      </c>
      <c r="B930" t="s">
        <v>52</v>
      </c>
      <c r="C930" s="6">
        <v>1</v>
      </c>
      <c r="D930" t="s">
        <v>49</v>
      </c>
      <c r="G930" t="s">
        <v>407</v>
      </c>
      <c r="H930" s="35" t="str">
        <f>VLOOKUP(Tableau65[[#This Row],[Utilisateur]],Tableau3[[Prenoms (ID)]:[Localisation]],2,FALSE)</f>
        <v>QUALITE</v>
      </c>
      <c r="I930" s="35" t="str">
        <f>VLOOKUP(Tableau65[[#This Row],[Utilisateur]],Tableau3[[Prenoms (ID)]:[Localisation]],3,FALSE)</f>
        <v>CENTRE</v>
      </c>
      <c r="J930" s="35">
        <f>VLOOKUP(Tableau65[[#This Row],[Utilisateur]],Tableau3[[Prenoms (ID)]:[CABINET]],4,FALSE)</f>
        <v>0</v>
      </c>
    </row>
    <row r="931" spans="1:10" x14ac:dyDescent="0.25">
      <c r="A931" s="2">
        <v>45958</v>
      </c>
      <c r="B931" t="s">
        <v>52</v>
      </c>
      <c r="C931" s="6">
        <v>1</v>
      </c>
      <c r="D931" t="s">
        <v>49</v>
      </c>
      <c r="G931" t="s">
        <v>369</v>
      </c>
      <c r="H931" s="35" t="str">
        <f>VLOOKUP(Tableau65[[#This Row],[Utilisateur]],Tableau3[[Prenoms (ID)]:[Localisation]],2,FALSE)</f>
        <v>Optique / Mirado</v>
      </c>
      <c r="I931" s="35" t="str">
        <f>VLOOKUP(Tableau65[[#This Row],[Utilisateur]],Tableau3[[Prenoms (ID)]:[Localisation]],3,FALSE)</f>
        <v>BNI1</v>
      </c>
      <c r="J931" s="35">
        <f>VLOOKUP(Tableau65[[#This Row],[Utilisateur]],Tableau3[[Prenoms (ID)]:[CABINET]],4,FALSE)</f>
        <v>0</v>
      </c>
    </row>
    <row r="932" spans="1:10" x14ac:dyDescent="0.25">
      <c r="A932" s="2">
        <v>45958</v>
      </c>
      <c r="B932" t="s">
        <v>52</v>
      </c>
      <c r="C932" s="6">
        <v>1</v>
      </c>
      <c r="D932" t="s">
        <v>49</v>
      </c>
      <c r="G932" t="s">
        <v>210</v>
      </c>
      <c r="H932" s="35" t="str">
        <f>VLOOKUP(Tableau65[[#This Row],[Utilisateur]],Tableau3[[Prenoms (ID)]:[Localisation]],2,FALSE)</f>
        <v>Comptastar</v>
      </c>
      <c r="I932" s="35" t="str">
        <f>VLOOKUP(Tableau65[[#This Row],[Utilisateur]],Tableau3[[Prenoms (ID)]:[Localisation]],3,FALSE)</f>
        <v>CENTRE</v>
      </c>
      <c r="J932" s="35">
        <f>VLOOKUP(Tableau65[[#This Row],[Utilisateur]],Tableau3[[Prenoms (ID)]:[CABINET]],4,FALSE)</f>
        <v>0</v>
      </c>
    </row>
    <row r="933" spans="1:10" x14ac:dyDescent="0.25">
      <c r="A933" s="2">
        <v>45958</v>
      </c>
      <c r="B933" t="s">
        <v>52</v>
      </c>
      <c r="C933" s="6">
        <v>1</v>
      </c>
      <c r="D933" t="s">
        <v>49</v>
      </c>
      <c r="G933" t="s">
        <v>688</v>
      </c>
      <c r="H933" s="35" t="str">
        <f>VLOOKUP(Tableau65[[#This Row],[Utilisateur]],Tableau3[[Prenoms (ID)]:[Localisation]],2,FALSE)</f>
        <v>RECCI</v>
      </c>
      <c r="I933" s="35" t="str">
        <f>VLOOKUP(Tableau65[[#This Row],[Utilisateur]],Tableau3[[Prenoms (ID)]:[Localisation]],3,FALSE)</f>
        <v>LMNP</v>
      </c>
      <c r="J933" s="35">
        <f>VLOOKUP(Tableau65[[#This Row],[Utilisateur]],Tableau3[[Prenoms (ID)]:[CABINET]],4,FALSE)</f>
        <v>0</v>
      </c>
    </row>
    <row r="934" spans="1:10" x14ac:dyDescent="0.25">
      <c r="A934" s="2">
        <v>45960</v>
      </c>
      <c r="B934" t="s">
        <v>52</v>
      </c>
      <c r="C934" s="6">
        <v>1</v>
      </c>
      <c r="D934" t="s">
        <v>49</v>
      </c>
      <c r="G934" t="s">
        <v>689</v>
      </c>
      <c r="H934" s="35" t="str">
        <f>VLOOKUP(Tableau65[[#This Row],[Utilisateur]],Tableau3[[Prenoms (ID)]:[Localisation]],2,FALSE)</f>
        <v>Audit CPA</v>
      </c>
      <c r="I934" s="35" t="str">
        <f>VLOOKUP(Tableau65[[#This Row],[Utilisateur]],Tableau3[[Prenoms (ID)]:[Localisation]],3,FALSE)</f>
        <v>AUDIT-CPA</v>
      </c>
      <c r="J934" s="35" t="str">
        <f>VLOOKUP(Tableau65[[#This Row],[Utilisateur]],Tableau3[[Prenoms (ID)]:[CABINET]],4,FALSE)</f>
        <v>CPA</v>
      </c>
    </row>
    <row r="935" spans="1:10" ht="30" x14ac:dyDescent="0.25">
      <c r="A935" s="2">
        <v>45962</v>
      </c>
      <c r="B935" t="s">
        <v>52</v>
      </c>
      <c r="C935" s="6">
        <v>8</v>
      </c>
      <c r="D935" t="s">
        <v>15</v>
      </c>
      <c r="E935" s="27" t="s">
        <v>690</v>
      </c>
      <c r="H935" s="35" t="e">
        <f>VLOOKUP(Tableau65[[#This Row],[Utilisateur]],Tableau3[[Prenoms (ID)]:[Localisation]],2,FALSE)</f>
        <v>#N/A</v>
      </c>
      <c r="I935" s="35" t="e">
        <f>VLOOKUP(Tableau65[[#This Row],[Utilisateur]],Tableau3[[Prenoms (ID)]:[Localisation]],3,FALSE)</f>
        <v>#N/A</v>
      </c>
      <c r="J935" s="35" t="e">
        <f>VLOOKUP(Tableau65[[#This Row],[Utilisateur]],Tableau3[[Prenoms (ID)]:[CABINET]],4,FALSE)</f>
        <v>#N/A</v>
      </c>
    </row>
    <row r="936" spans="1:10" ht="30" x14ac:dyDescent="0.25">
      <c r="A936" s="2">
        <v>45962</v>
      </c>
      <c r="B936" t="s">
        <v>54</v>
      </c>
      <c r="C936" s="6">
        <v>8</v>
      </c>
      <c r="D936" t="s">
        <v>15</v>
      </c>
      <c r="E936" s="27" t="s">
        <v>690</v>
      </c>
      <c r="H936" s="35" t="e">
        <f>VLOOKUP(Tableau65[[#This Row],[Utilisateur]],Tableau3[[Prenoms (ID)]:[Localisation]],2,FALSE)</f>
        <v>#N/A</v>
      </c>
      <c r="I936" s="35" t="e">
        <f>VLOOKUP(Tableau65[[#This Row],[Utilisateur]],Tableau3[[Prenoms (ID)]:[Localisation]],3,FALSE)</f>
        <v>#N/A</v>
      </c>
      <c r="J936" s="35" t="e">
        <f>VLOOKUP(Tableau65[[#This Row],[Utilisateur]],Tableau3[[Prenoms (ID)]:[CABINET]],4,FALSE)</f>
        <v>#N/A</v>
      </c>
    </row>
    <row r="937" spans="1:10" x14ac:dyDescent="0.25">
      <c r="A937" s="2">
        <v>45964</v>
      </c>
      <c r="B937" t="s">
        <v>52</v>
      </c>
      <c r="C937" s="6">
        <v>1</v>
      </c>
      <c r="D937" t="s">
        <v>49</v>
      </c>
      <c r="G937" t="s">
        <v>655</v>
      </c>
      <c r="H937" s="35" t="str">
        <f>VLOOKUP(Tableau65[[#This Row],[Utilisateur]],Tableau3[[Prenoms (ID)]:[Localisation]],2,FALSE)</f>
        <v>-</v>
      </c>
      <c r="I937" s="35" t="str">
        <f>VLOOKUP(Tableau65[[#This Row],[Utilisateur]],Tableau3[[Prenoms (ID)]:[Localisation]],3,FALSE)</f>
        <v>BIRA</v>
      </c>
      <c r="J937" s="35">
        <f>VLOOKUP(Tableau65[[#This Row],[Utilisateur]],Tableau3[[Prenoms (ID)]:[CABINET]],4,FALSE)</f>
        <v>0</v>
      </c>
    </row>
    <row r="938" spans="1:10" x14ac:dyDescent="0.25">
      <c r="A938" s="2">
        <v>45964</v>
      </c>
      <c r="B938" t="s">
        <v>52</v>
      </c>
      <c r="C938" s="6">
        <v>1</v>
      </c>
      <c r="D938" t="s">
        <v>49</v>
      </c>
      <c r="G938" t="s">
        <v>137</v>
      </c>
      <c r="H938" s="35" t="str">
        <f>VLOOKUP(Tableau65[[#This Row],[Utilisateur]],Tableau3[[Prenoms (ID)]:[Localisation]],2,FALSE)</f>
        <v>-</v>
      </c>
      <c r="I938" s="35" t="str">
        <f>VLOOKUP(Tableau65[[#This Row],[Utilisateur]],Tableau3[[Prenoms (ID)]:[Localisation]],3,FALSE)</f>
        <v>BIRA</v>
      </c>
      <c r="J938" s="35" t="str">
        <f>VLOOKUP(Tableau65[[#This Row],[Utilisateur]],Tableau3[[Prenoms (ID)]:[CABINET]],4,FALSE)</f>
        <v>CPA</v>
      </c>
    </row>
    <row r="939" spans="1:10" x14ac:dyDescent="0.25">
      <c r="A939" s="2">
        <v>45964</v>
      </c>
      <c r="B939" t="s">
        <v>52</v>
      </c>
      <c r="C939" s="6">
        <v>1</v>
      </c>
      <c r="D939" t="s">
        <v>49</v>
      </c>
      <c r="G939" t="s">
        <v>637</v>
      </c>
      <c r="H939" s="35" t="str">
        <f>VLOOKUP(Tableau65[[#This Row],[Utilisateur]],Tableau3[[Prenoms (ID)]:[Localisation]],2,FALSE)</f>
        <v>Apprenti</v>
      </c>
      <c r="I939" s="35" t="str">
        <f>VLOOKUP(Tableau65[[#This Row],[Utilisateur]],Tableau3[[Prenoms (ID)]:[Localisation]],3,FALSE)</f>
        <v>BIRA</v>
      </c>
      <c r="J939" s="35" t="str">
        <f>VLOOKUP(Tableau65[[#This Row],[Utilisateur]],Tableau3[[Prenoms (ID)]:[CABINET]],4,FALSE)</f>
        <v>CPA</v>
      </c>
    </row>
    <row r="940" spans="1:10" x14ac:dyDescent="0.25">
      <c r="A940" s="2">
        <v>45964</v>
      </c>
      <c r="B940" t="s">
        <v>52</v>
      </c>
      <c r="C940" s="6">
        <v>1</v>
      </c>
      <c r="D940" t="s">
        <v>49</v>
      </c>
      <c r="G940" t="s">
        <v>545</v>
      </c>
      <c r="H940" s="35" t="str">
        <f>VLOOKUP(Tableau65[[#This Row],[Utilisateur]],Tableau3[[Prenoms (ID)]:[Localisation]],2,FALSE)</f>
        <v>-</v>
      </c>
      <c r="I940" s="35" t="str">
        <f>VLOOKUP(Tableau65[[#This Row],[Utilisateur]],Tableau3[[Prenoms (ID)]:[Localisation]],3,FALSE)</f>
        <v>BIRA</v>
      </c>
      <c r="J940" s="35" t="str">
        <f>VLOOKUP(Tableau65[[#This Row],[Utilisateur]],Tableau3[[Prenoms (ID)]:[CABINET]],4,FALSE)</f>
        <v>CPA</v>
      </c>
    </row>
    <row r="941" spans="1:10" x14ac:dyDescent="0.25">
      <c r="A941" s="2">
        <v>45964</v>
      </c>
      <c r="B941" t="s">
        <v>52</v>
      </c>
      <c r="C941" s="6">
        <v>1</v>
      </c>
      <c r="D941" t="s">
        <v>49</v>
      </c>
      <c r="G941" t="s">
        <v>449</v>
      </c>
      <c r="H941" s="35" t="str">
        <f>VLOOKUP(Tableau65[[#This Row],[Utilisateur]],Tableau3[[Prenoms (ID)]:[Localisation]],2,FALSE)</f>
        <v>-</v>
      </c>
      <c r="I941" s="35" t="str">
        <f>VLOOKUP(Tableau65[[#This Row],[Utilisateur]],Tableau3[[Prenoms (ID)]:[Localisation]],3,FALSE)</f>
        <v>BIRA</v>
      </c>
      <c r="J941" s="35" t="str">
        <f>VLOOKUP(Tableau65[[#This Row],[Utilisateur]],Tableau3[[Prenoms (ID)]:[CABINET]],4,FALSE)</f>
        <v>CPA</v>
      </c>
    </row>
    <row r="942" spans="1:10" x14ac:dyDescent="0.25">
      <c r="A942" s="2">
        <v>45964</v>
      </c>
      <c r="B942" t="s">
        <v>52</v>
      </c>
      <c r="C942" s="6">
        <v>1</v>
      </c>
      <c r="D942" t="s">
        <v>49</v>
      </c>
      <c r="G942" t="s">
        <v>393</v>
      </c>
      <c r="H942" s="35" t="str">
        <f>VLOOKUP(Tableau65[[#This Row],[Utilisateur]],Tableau3[[Prenoms (ID)]:[Localisation]],2,FALSE)</f>
        <v>-</v>
      </c>
      <c r="I942" s="35" t="str">
        <f>VLOOKUP(Tableau65[[#This Row],[Utilisateur]],Tableau3[[Prenoms (ID)]:[Localisation]],3,FALSE)</f>
        <v>BIRA</v>
      </c>
      <c r="J942" s="35" t="str">
        <f>VLOOKUP(Tableau65[[#This Row],[Utilisateur]],Tableau3[[Prenoms (ID)]:[CABINET]],4,FALSE)</f>
        <v>CPA</v>
      </c>
    </row>
    <row r="943" spans="1:10" x14ac:dyDescent="0.25">
      <c r="A943" s="2">
        <v>45964</v>
      </c>
      <c r="B943" t="s">
        <v>52</v>
      </c>
      <c r="C943" s="6">
        <v>1</v>
      </c>
      <c r="D943" t="s">
        <v>49</v>
      </c>
      <c r="G943" t="s">
        <v>639</v>
      </c>
      <c r="H943" s="35" t="str">
        <f>VLOOKUP(Tableau65[[#This Row],[Utilisateur]],Tableau3[[Prenoms (ID)]:[Localisation]],2,FALSE)</f>
        <v>Apprenti</v>
      </c>
      <c r="I943" s="35" t="str">
        <f>VLOOKUP(Tableau65[[#This Row],[Utilisateur]],Tableau3[[Prenoms (ID)]:[Localisation]],3,FALSE)</f>
        <v>BIRA</v>
      </c>
      <c r="J943" s="35" t="str">
        <f>VLOOKUP(Tableau65[[#This Row],[Utilisateur]],Tableau3[[Prenoms (ID)]:[CABINET]],4,FALSE)</f>
        <v>CPA</v>
      </c>
    </row>
    <row r="944" spans="1:10" x14ac:dyDescent="0.25">
      <c r="A944" s="2">
        <v>45964</v>
      </c>
      <c r="B944" t="s">
        <v>58</v>
      </c>
      <c r="C944" s="6">
        <v>1</v>
      </c>
      <c r="D944" t="s">
        <v>49</v>
      </c>
      <c r="G944" t="s">
        <v>642</v>
      </c>
      <c r="H944" s="35" t="str">
        <f>VLOOKUP(Tableau65[[#This Row],[Utilisateur]],Tableau3[[Prenoms (ID)]:[Localisation]],2,FALSE)</f>
        <v>Optique / Sata</v>
      </c>
      <c r="I944" s="35" t="str">
        <f>VLOOKUP(Tableau65[[#This Row],[Utilisateur]],Tableau3[[Prenoms (ID)]:[Localisation]],3,FALSE)</f>
        <v>BNI1</v>
      </c>
      <c r="J944" s="35">
        <f>VLOOKUP(Tableau65[[#This Row],[Utilisateur]],Tableau3[[Prenoms (ID)]:[CABINET]],4,FALSE)</f>
        <v>0</v>
      </c>
    </row>
    <row r="945" spans="1:10" x14ac:dyDescent="0.25">
      <c r="A945" s="2">
        <v>45964</v>
      </c>
      <c r="B945" t="s">
        <v>25</v>
      </c>
      <c r="C945" s="6">
        <v>1</v>
      </c>
      <c r="D945" t="s">
        <v>49</v>
      </c>
      <c r="G945" t="s">
        <v>100</v>
      </c>
      <c r="H945" s="35" t="str">
        <f>VLOOKUP(Tableau65[[#This Row],[Utilisateur]],Tableau3[[Prenoms (ID)]:[Localisation]],2,FALSE)</f>
        <v>Optique / Sata</v>
      </c>
      <c r="I945" s="35" t="str">
        <f>VLOOKUP(Tableau65[[#This Row],[Utilisateur]],Tableau3[[Prenoms (ID)]:[Localisation]],3,FALSE)</f>
        <v>BNI1</v>
      </c>
      <c r="J945" s="35">
        <f>VLOOKUP(Tableau65[[#This Row],[Utilisateur]],Tableau3[[Prenoms (ID)]:[CABINET]],4,FALSE)</f>
        <v>0</v>
      </c>
    </row>
    <row r="946" spans="1:10" x14ac:dyDescent="0.25">
      <c r="A946" s="2">
        <v>45964</v>
      </c>
      <c r="B946" t="s">
        <v>52</v>
      </c>
      <c r="C946" s="6">
        <v>1</v>
      </c>
      <c r="D946" t="s">
        <v>49</v>
      </c>
      <c r="G946" t="s">
        <v>543</v>
      </c>
      <c r="H946" s="35" t="str">
        <f>VLOOKUP(Tableau65[[#This Row],[Utilisateur]],Tableau3[[Prenoms (ID)]:[Localisation]],2,FALSE)</f>
        <v>RECCI / Njato Be</v>
      </c>
      <c r="I946" s="35" t="str">
        <f>VLOOKUP(Tableau65[[#This Row],[Utilisateur]],Tableau3[[Prenoms (ID)]:[Localisation]],3,FALSE)</f>
        <v>BNI2</v>
      </c>
      <c r="J946" s="35">
        <f>VLOOKUP(Tableau65[[#This Row],[Utilisateur]],Tableau3[[Prenoms (ID)]:[CABINET]],4,FALSE)</f>
        <v>0</v>
      </c>
    </row>
    <row r="947" spans="1:10" x14ac:dyDescent="0.25">
      <c r="A947" s="2">
        <v>45964</v>
      </c>
      <c r="B947" t="s">
        <v>52</v>
      </c>
      <c r="C947" s="6">
        <v>1</v>
      </c>
      <c r="D947" t="s">
        <v>49</v>
      </c>
      <c r="G947" t="s">
        <v>449</v>
      </c>
      <c r="H947" s="35" t="str">
        <f>VLOOKUP(Tableau65[[#This Row],[Utilisateur]],Tableau3[[Prenoms (ID)]:[Localisation]],2,FALSE)</f>
        <v>-</v>
      </c>
      <c r="I947" s="35" t="str">
        <f>VLOOKUP(Tableau65[[#This Row],[Utilisateur]],Tableau3[[Prenoms (ID)]:[Localisation]],3,FALSE)</f>
        <v>BIRA</v>
      </c>
      <c r="J947" s="35" t="str">
        <f>VLOOKUP(Tableau65[[#This Row],[Utilisateur]],Tableau3[[Prenoms (ID)]:[CABINET]],4,FALSE)</f>
        <v>CPA</v>
      </c>
    </row>
    <row r="948" spans="1:10" x14ac:dyDescent="0.25">
      <c r="A948" s="2">
        <v>45964</v>
      </c>
      <c r="B948" t="s">
        <v>52</v>
      </c>
      <c r="C948" s="6">
        <v>1</v>
      </c>
      <c r="D948" t="s">
        <v>49</v>
      </c>
      <c r="G948" t="s">
        <v>393</v>
      </c>
      <c r="H948" s="35" t="str">
        <f>VLOOKUP(Tableau65[[#This Row],[Utilisateur]],Tableau3[[Prenoms (ID)]:[Localisation]],2,FALSE)</f>
        <v>-</v>
      </c>
      <c r="I948" s="35" t="str">
        <f>VLOOKUP(Tableau65[[#This Row],[Utilisateur]],Tableau3[[Prenoms (ID)]:[Localisation]],3,FALSE)</f>
        <v>BIRA</v>
      </c>
      <c r="J948" s="35" t="str">
        <f>VLOOKUP(Tableau65[[#This Row],[Utilisateur]],Tableau3[[Prenoms (ID)]:[CABINET]],4,FALSE)</f>
        <v>CPA</v>
      </c>
    </row>
    <row r="949" spans="1:10" x14ac:dyDescent="0.25">
      <c r="A949" s="2">
        <v>45964</v>
      </c>
      <c r="B949" t="s">
        <v>52</v>
      </c>
      <c r="C949" s="6">
        <v>1</v>
      </c>
      <c r="D949" t="s">
        <v>49</v>
      </c>
      <c r="G949" t="s">
        <v>639</v>
      </c>
      <c r="H949" s="35" t="str">
        <f>VLOOKUP(Tableau65[[#This Row],[Utilisateur]],Tableau3[[Prenoms (ID)]:[Localisation]],2,FALSE)</f>
        <v>Apprenti</v>
      </c>
      <c r="I949" s="35" t="str">
        <f>VLOOKUP(Tableau65[[#This Row],[Utilisateur]],Tableau3[[Prenoms (ID)]:[Localisation]],3,FALSE)</f>
        <v>BIRA</v>
      </c>
      <c r="J949" s="35" t="str">
        <f>VLOOKUP(Tableau65[[#This Row],[Utilisateur]],Tableau3[[Prenoms (ID)]:[CABINET]],4,FALSE)</f>
        <v>CPA</v>
      </c>
    </row>
    <row r="950" spans="1:10" x14ac:dyDescent="0.25">
      <c r="A950" s="2">
        <v>45965</v>
      </c>
      <c r="B950" t="s">
        <v>58</v>
      </c>
      <c r="C950" s="6">
        <v>1</v>
      </c>
      <c r="D950" t="s">
        <v>49</v>
      </c>
      <c r="G950" t="s">
        <v>345</v>
      </c>
      <c r="H950" s="35" t="str">
        <f>VLOOKUP(Tableau65[[#This Row],[Utilisateur]],Tableau3[[Prenoms (ID)]:[Localisation]],2,FALSE)</f>
        <v>Optique / Sata</v>
      </c>
      <c r="I950" s="35" t="str">
        <f>VLOOKUP(Tableau65[[#This Row],[Utilisateur]],Tableau3[[Prenoms (ID)]:[Localisation]],3,FALSE)</f>
        <v>BNI1</v>
      </c>
      <c r="J950" s="35">
        <f>VLOOKUP(Tableau65[[#This Row],[Utilisateur]],Tableau3[[Prenoms (ID)]:[CABINET]],4,FALSE)</f>
        <v>0</v>
      </c>
    </row>
    <row r="951" spans="1:10" x14ac:dyDescent="0.25">
      <c r="A951" s="2">
        <v>45965</v>
      </c>
      <c r="B951" t="s">
        <v>25</v>
      </c>
      <c r="C951" s="6">
        <v>1</v>
      </c>
      <c r="D951" t="s">
        <v>49</v>
      </c>
      <c r="G951" t="s">
        <v>345</v>
      </c>
      <c r="H951" s="35" t="str">
        <f>VLOOKUP(Tableau65[[#This Row],[Utilisateur]],Tableau3[[Prenoms (ID)]:[Localisation]],2,FALSE)</f>
        <v>Optique / Sata</v>
      </c>
      <c r="I951" s="35" t="str">
        <f>VLOOKUP(Tableau65[[#This Row],[Utilisateur]],Tableau3[[Prenoms (ID)]:[Localisation]],3,FALSE)</f>
        <v>BNI1</v>
      </c>
      <c r="J951" s="35">
        <f>VLOOKUP(Tableau65[[#This Row],[Utilisateur]],Tableau3[[Prenoms (ID)]:[CABINET]],4,FALSE)</f>
        <v>0</v>
      </c>
    </row>
    <row r="952" spans="1:10" x14ac:dyDescent="0.25">
      <c r="A952" s="2">
        <v>45965</v>
      </c>
      <c r="B952" t="s">
        <v>52</v>
      </c>
      <c r="C952" s="6">
        <v>1</v>
      </c>
      <c r="D952" t="s">
        <v>49</v>
      </c>
      <c r="G952" t="s">
        <v>609</v>
      </c>
      <c r="H952" s="35" t="str">
        <f>VLOOKUP(Tableau65[[#This Row],[Utilisateur]],Tableau3[[Prenoms (ID)]:[Localisation]],2,FALSE)</f>
        <v>Apprenti</v>
      </c>
      <c r="I952" s="35" t="str">
        <f>VLOOKUP(Tableau65[[#This Row],[Utilisateur]],Tableau3[[Prenoms (ID)]:[Localisation]],3,FALSE)</f>
        <v>BIRA</v>
      </c>
      <c r="J952" s="35" t="str">
        <f>VLOOKUP(Tableau65[[#This Row],[Utilisateur]],Tableau3[[Prenoms (ID)]:[CABINET]],4,FALSE)</f>
        <v>CPA</v>
      </c>
    </row>
    <row r="953" spans="1:10" x14ac:dyDescent="0.25">
      <c r="A953" s="2">
        <v>45965</v>
      </c>
      <c r="B953" t="s">
        <v>52</v>
      </c>
      <c r="C953" s="6">
        <v>1</v>
      </c>
      <c r="D953" t="s">
        <v>49</v>
      </c>
      <c r="G953" t="s">
        <v>625</v>
      </c>
      <c r="H953" s="35" t="str">
        <f>VLOOKUP(Tableau65[[#This Row],[Utilisateur]],Tableau3[[Prenoms (ID)]:[Localisation]],2,FALSE)</f>
        <v>Audit CPA</v>
      </c>
      <c r="I953" s="35" t="str">
        <f>VLOOKUP(Tableau65[[#This Row],[Utilisateur]],Tableau3[[Prenoms (ID)]:[Localisation]],3,FALSE)</f>
        <v>AUDIT-CPA</v>
      </c>
      <c r="J953" s="35" t="str">
        <f>VLOOKUP(Tableau65[[#This Row],[Utilisateur]],Tableau3[[Prenoms (ID)]:[CABINET]],4,FALSE)</f>
        <v>CPA</v>
      </c>
    </row>
    <row r="954" spans="1:10" x14ac:dyDescent="0.25">
      <c r="A954" s="2">
        <v>45965</v>
      </c>
      <c r="B954" t="s">
        <v>52</v>
      </c>
      <c r="C954" s="6">
        <v>1</v>
      </c>
      <c r="D954" t="s">
        <v>49</v>
      </c>
      <c r="G954" t="s">
        <v>332</v>
      </c>
      <c r="H954" s="35" t="str">
        <f>VLOOKUP(Tableau65[[#This Row],[Utilisateur]],Tableau3[[Prenoms (ID)]:[Localisation]],2,FALSE)</f>
        <v>RECCI SAV</v>
      </c>
      <c r="I954" s="35" t="str">
        <f>VLOOKUP(Tableau65[[#This Row],[Utilisateur]],Tableau3[[Prenoms (ID)]:[Localisation]],3,FALSE)</f>
        <v>BNI2</v>
      </c>
      <c r="J954" s="35">
        <f>VLOOKUP(Tableau65[[#This Row],[Utilisateur]],Tableau3[[Prenoms (ID)]:[CABINET]],4,FALSE)</f>
        <v>0</v>
      </c>
    </row>
    <row r="955" spans="1:10" x14ac:dyDescent="0.25">
      <c r="A955" s="2">
        <v>45965</v>
      </c>
      <c r="B955" t="s">
        <v>52</v>
      </c>
      <c r="C955" s="6">
        <v>1</v>
      </c>
      <c r="D955" t="s">
        <v>49</v>
      </c>
      <c r="G955" t="s">
        <v>554</v>
      </c>
      <c r="H955" s="35" t="str">
        <f>VLOOKUP(Tableau65[[#This Row],[Utilisateur]],Tableau3[[Prenoms (ID)]:[Localisation]],2,FALSE)</f>
        <v>Audit CPA</v>
      </c>
      <c r="I955" s="35" t="str">
        <f>VLOOKUP(Tableau65[[#This Row],[Utilisateur]],Tableau3[[Prenoms (ID)]:[Localisation]],3,FALSE)</f>
        <v>AUDIT-CPA</v>
      </c>
      <c r="J955" s="35" t="str">
        <f>VLOOKUP(Tableau65[[#This Row],[Utilisateur]],Tableau3[[Prenoms (ID)]:[CABINET]],4,FALSE)</f>
        <v>CPA</v>
      </c>
    </row>
    <row r="956" spans="1:10" x14ac:dyDescent="0.25">
      <c r="A956" s="2">
        <v>45965</v>
      </c>
      <c r="B956" t="s">
        <v>52</v>
      </c>
      <c r="C956" s="6">
        <v>1</v>
      </c>
      <c r="D956" t="s">
        <v>49</v>
      </c>
      <c r="G956" t="s">
        <v>471</v>
      </c>
      <c r="H956" s="35" t="str">
        <f>VLOOKUP(Tableau65[[#This Row],[Utilisateur]],Tableau3[[Prenoms (ID)]:[Localisation]],2,FALSE)</f>
        <v>Audit CPA</v>
      </c>
      <c r="I956" s="35" t="str">
        <f>VLOOKUP(Tableau65[[#This Row],[Utilisateur]],Tableau3[[Prenoms (ID)]:[Localisation]],3,FALSE)</f>
        <v>AUDIT-CPA</v>
      </c>
      <c r="J956" s="35" t="str">
        <f>VLOOKUP(Tableau65[[#This Row],[Utilisateur]],Tableau3[[Prenoms (ID)]:[CABINET]],4,FALSE)</f>
        <v>CPA</v>
      </c>
    </row>
    <row r="957" spans="1:10" x14ac:dyDescent="0.25">
      <c r="A957" s="2">
        <v>45965</v>
      </c>
      <c r="B957" t="s">
        <v>24</v>
      </c>
      <c r="C957" s="6">
        <v>1</v>
      </c>
      <c r="D957" t="s">
        <v>49</v>
      </c>
      <c r="E957" t="s">
        <v>691</v>
      </c>
      <c r="G957" t="s">
        <v>691</v>
      </c>
      <c r="H957" s="35">
        <f>VLOOKUP(Tableau65[[#This Row],[Utilisateur]],Tableau3[[Prenoms (ID)]:[Localisation]],2,FALSE)</f>
        <v>0</v>
      </c>
      <c r="I957" s="35">
        <f>VLOOKUP(Tableau65[[#This Row],[Utilisateur]],Tableau3[[Prenoms (ID)]:[Localisation]],3,FALSE)</f>
        <v>0</v>
      </c>
      <c r="J957" s="35">
        <f>VLOOKUP(Tableau65[[#This Row],[Utilisateur]],Tableau3[[Prenoms (ID)]:[CABINET]],4,FALSE)</f>
        <v>0</v>
      </c>
    </row>
    <row r="958" spans="1:10" x14ac:dyDescent="0.25">
      <c r="A958" s="2">
        <v>45967</v>
      </c>
      <c r="B958" t="s">
        <v>52</v>
      </c>
      <c r="C958" s="6">
        <v>1</v>
      </c>
      <c r="D958" t="s">
        <v>49</v>
      </c>
      <c r="G958" t="s">
        <v>335</v>
      </c>
      <c r="H958" s="35" t="str">
        <f>VLOOKUP(Tableau65[[#This Row],[Utilisateur]],Tableau3[[Prenoms (ID)]:[Localisation]],2,FALSE)</f>
        <v>Admin</v>
      </c>
      <c r="I958" s="35" t="str">
        <f>VLOOKUP(Tableau65[[#This Row],[Utilisateur]],Tableau3[[Prenoms (ID)]:[Localisation]],3,FALSE)</f>
        <v>DIRECTION</v>
      </c>
      <c r="J958" s="35">
        <f>VLOOKUP(Tableau65[[#This Row],[Utilisateur]],Tableau3[[Prenoms (ID)]:[CABINET]],4,FALSE)</f>
        <v>0</v>
      </c>
    </row>
    <row r="959" spans="1:10" x14ac:dyDescent="0.25">
      <c r="A959" s="2">
        <v>45971</v>
      </c>
      <c r="B959" t="s">
        <v>52</v>
      </c>
      <c r="C959" s="6">
        <v>1</v>
      </c>
      <c r="D959" t="s">
        <v>49</v>
      </c>
      <c r="G959" t="s">
        <v>451</v>
      </c>
      <c r="H959" s="35" t="str">
        <f>VLOOKUP(Tableau65[[#This Row],[Utilisateur]],Tableau3[[Prenoms (ID)]:[Localisation]],2,FALSE)</f>
        <v>Eccentive</v>
      </c>
      <c r="I959" s="35" t="str">
        <f>VLOOKUP(Tableau65[[#This Row],[Utilisateur]],Tableau3[[Prenoms (ID)]:[Localisation]],3,FALSE)</f>
        <v>LMNP</v>
      </c>
      <c r="J959" s="35">
        <f>VLOOKUP(Tableau65[[#This Row],[Utilisateur]],Tableau3[[Prenoms (ID)]:[CABINET]],4,FALSE)</f>
        <v>0</v>
      </c>
    </row>
    <row r="960" spans="1:10" x14ac:dyDescent="0.25">
      <c r="A960" s="2">
        <v>45971</v>
      </c>
      <c r="B960" t="s">
        <v>25</v>
      </c>
      <c r="C960" s="6">
        <v>7</v>
      </c>
      <c r="D960" t="s">
        <v>15</v>
      </c>
      <c r="E960" t="s">
        <v>692</v>
      </c>
      <c r="H960" s="35" t="e">
        <f>VLOOKUP(Tableau65[[#This Row],[Utilisateur]],Tableau3[[Prenoms (ID)]:[Localisation]],2,FALSE)</f>
        <v>#N/A</v>
      </c>
      <c r="I960" s="35" t="e">
        <f>VLOOKUP(Tableau65[[#This Row],[Utilisateur]],Tableau3[[Prenoms (ID)]:[Localisation]],3,FALSE)</f>
        <v>#N/A</v>
      </c>
      <c r="J960" s="35" t="e">
        <f>VLOOKUP(Tableau65[[#This Row],[Utilisateur]],Tableau3[[Prenoms (ID)]:[CABINET]],4,FALSE)</f>
        <v>#N/A</v>
      </c>
    </row>
    <row r="961" spans="1:10" x14ac:dyDescent="0.25">
      <c r="A961" s="2">
        <v>45971</v>
      </c>
      <c r="B961" t="s">
        <v>52</v>
      </c>
      <c r="C961" s="6">
        <v>2</v>
      </c>
      <c r="D961" t="s">
        <v>15</v>
      </c>
      <c r="E961" t="s">
        <v>693</v>
      </c>
      <c r="H961" s="35" t="e">
        <f>VLOOKUP(Tableau65[[#This Row],[Utilisateur]],Tableau3[[Prenoms (ID)]:[Localisation]],2,FALSE)</f>
        <v>#N/A</v>
      </c>
      <c r="I961" s="35" t="e">
        <f>VLOOKUP(Tableau65[[#This Row],[Utilisateur]],Tableau3[[Prenoms (ID)]:[Localisation]],3,FALSE)</f>
        <v>#N/A</v>
      </c>
      <c r="J961" s="35" t="e">
        <f>VLOOKUP(Tableau65[[#This Row],[Utilisateur]],Tableau3[[Prenoms (ID)]:[CABINET]],4,FALSE)</f>
        <v>#N/A</v>
      </c>
    </row>
    <row r="962" spans="1:10" x14ac:dyDescent="0.25">
      <c r="A962" s="2">
        <v>45971</v>
      </c>
      <c r="B962" t="s">
        <v>52</v>
      </c>
      <c r="C962" s="6">
        <v>1</v>
      </c>
      <c r="D962" t="s">
        <v>49</v>
      </c>
      <c r="G962" t="s">
        <v>662</v>
      </c>
      <c r="H962" s="35" t="str">
        <f>VLOOKUP(Tableau65[[#This Row],[Utilisateur]],Tableau3[[Prenoms (ID)]:[Localisation]],2,FALSE)</f>
        <v>Accefi</v>
      </c>
      <c r="I962" s="35" t="str">
        <f>VLOOKUP(Tableau65[[#This Row],[Utilisateur]],Tableau3[[Prenoms (ID)]:[Localisation]],3,FALSE)</f>
        <v>ACCEFI</v>
      </c>
      <c r="J962" s="35" t="str">
        <f>VLOOKUP(Tableau65[[#This Row],[Utilisateur]],Tableau3[[Prenoms (ID)]:[CABINET]],4,FALSE)</f>
        <v>CPA</v>
      </c>
    </row>
    <row r="963" spans="1:10" x14ac:dyDescent="0.25">
      <c r="A963" s="2">
        <v>45971</v>
      </c>
      <c r="B963" t="s">
        <v>84</v>
      </c>
      <c r="C963" s="6">
        <v>1</v>
      </c>
      <c r="D963" t="s">
        <v>49</v>
      </c>
      <c r="G963" t="s">
        <v>341</v>
      </c>
      <c r="H963" s="35" t="str">
        <f>VLOOKUP(Tableau65[[#This Row],[Utilisateur]],Tableau3[[Prenoms (ID)]:[Localisation]],2,FALSE)</f>
        <v>RECCI</v>
      </c>
      <c r="I963" s="35" t="str">
        <f>VLOOKUP(Tableau65[[#This Row],[Utilisateur]],Tableau3[[Prenoms (ID)]:[Localisation]],3,FALSE)</f>
        <v>LMNP</v>
      </c>
      <c r="J963" s="35">
        <f>VLOOKUP(Tableau65[[#This Row],[Utilisateur]],Tableau3[[Prenoms (ID)]:[CABINET]],4,FALSE)</f>
        <v>0</v>
      </c>
    </row>
    <row r="964" spans="1:10" x14ac:dyDescent="0.25">
      <c r="A964" s="2">
        <v>45972</v>
      </c>
      <c r="B964" t="s">
        <v>52</v>
      </c>
      <c r="C964" s="6">
        <v>1</v>
      </c>
      <c r="D964" t="s">
        <v>49</v>
      </c>
      <c r="G964" t="s">
        <v>529</v>
      </c>
      <c r="H964" s="35" t="str">
        <f>VLOOKUP(Tableau65[[#This Row],[Utilisateur]],Tableau3[[Prenoms (ID)]:[Localisation]],2,FALSE)</f>
        <v>Accefi</v>
      </c>
      <c r="I964" s="35" t="str">
        <f>VLOOKUP(Tableau65[[#This Row],[Utilisateur]],Tableau3[[Prenoms (ID)]:[Localisation]],3,FALSE)</f>
        <v>ACCEFI</v>
      </c>
      <c r="J964" s="35" t="str">
        <f>VLOOKUP(Tableau65[[#This Row],[Utilisateur]],Tableau3[[Prenoms (ID)]:[CABINET]],4,FALSE)</f>
        <v>CPA</v>
      </c>
    </row>
    <row r="965" spans="1:10" x14ac:dyDescent="0.25">
      <c r="A965" s="2">
        <v>45973</v>
      </c>
      <c r="B965" t="s">
        <v>52</v>
      </c>
      <c r="C965" s="6">
        <v>1</v>
      </c>
      <c r="D965" t="s">
        <v>49</v>
      </c>
      <c r="G965" t="s">
        <v>694</v>
      </c>
      <c r="H965" s="35" t="str">
        <f>VLOOKUP(Tableau65[[#This Row],[Utilisateur]],Tableau3[[Prenoms (ID)]:[Localisation]],2,FALSE)</f>
        <v>Apprenti</v>
      </c>
      <c r="I965" s="35" t="str">
        <f>VLOOKUP(Tableau65[[#This Row],[Utilisateur]],Tableau3[[Prenoms (ID)]:[Localisation]],3,FALSE)</f>
        <v>BIRA</v>
      </c>
      <c r="J965" s="35">
        <f>VLOOKUP(Tableau65[[#This Row],[Utilisateur]],Tableau3[[Prenoms (ID)]:[CABINET]],4,FALSE)</f>
        <v>0</v>
      </c>
    </row>
    <row r="966" spans="1:10" x14ac:dyDescent="0.25">
      <c r="A966" s="2">
        <v>45973</v>
      </c>
      <c r="B966" t="s">
        <v>52</v>
      </c>
      <c r="C966" s="6">
        <v>1</v>
      </c>
      <c r="D966" t="s">
        <v>49</v>
      </c>
      <c r="G966" t="s">
        <v>565</v>
      </c>
      <c r="H966" s="35" t="str">
        <f>VLOOKUP(Tableau65[[#This Row],[Utilisateur]],Tableau3[[Prenoms (ID)]:[Localisation]],2,FALSE)</f>
        <v>RECCI / Njato Be</v>
      </c>
      <c r="I966" s="35" t="str">
        <f>VLOOKUP(Tableau65[[#This Row],[Utilisateur]],Tableau3[[Prenoms (ID)]:[Localisation]],3,FALSE)</f>
        <v>BNI2</v>
      </c>
      <c r="J966" s="35">
        <f>VLOOKUP(Tableau65[[#This Row],[Utilisateur]],Tableau3[[Prenoms (ID)]:[CABINET]],4,FALSE)</f>
        <v>0</v>
      </c>
    </row>
    <row r="967" spans="1:10" x14ac:dyDescent="0.25">
      <c r="A967" s="2">
        <v>45973</v>
      </c>
      <c r="B967" t="s">
        <v>52</v>
      </c>
      <c r="C967" s="6">
        <v>1</v>
      </c>
      <c r="D967" t="s">
        <v>49</v>
      </c>
      <c r="G967" t="s">
        <v>395</v>
      </c>
      <c r="H967" s="35" t="str">
        <f>VLOOKUP(Tableau65[[#This Row],[Utilisateur]],Tableau3[[Prenoms (ID)]:[Localisation]],2,FALSE)</f>
        <v>RECCI SAV</v>
      </c>
      <c r="I967" s="35" t="str">
        <f>VLOOKUP(Tableau65[[#This Row],[Utilisateur]],Tableau3[[Prenoms (ID)]:[Localisation]],3,FALSE)</f>
        <v>BNI2</v>
      </c>
      <c r="J967" s="35">
        <f>VLOOKUP(Tableau65[[#This Row],[Utilisateur]],Tableau3[[Prenoms (ID)]:[CABINET]],4,FALSE)</f>
        <v>0</v>
      </c>
    </row>
    <row r="968" spans="1:10" x14ac:dyDescent="0.25">
      <c r="A968" s="2">
        <v>45973</v>
      </c>
      <c r="B968" t="s">
        <v>52</v>
      </c>
      <c r="C968" s="6">
        <v>1</v>
      </c>
      <c r="D968" t="s">
        <v>49</v>
      </c>
      <c r="G968" t="s">
        <v>497</v>
      </c>
      <c r="H968" s="35" t="str">
        <f>VLOOKUP(Tableau65[[#This Row],[Utilisateur]],Tableau3[[Prenoms (ID)]:[Localisation]],2,FALSE)</f>
        <v>RECCI / Njato Be</v>
      </c>
      <c r="I968" s="35" t="str">
        <f>VLOOKUP(Tableau65[[#This Row],[Utilisateur]],Tableau3[[Prenoms (ID)]:[Localisation]],3,FALSE)</f>
        <v>BNI2</v>
      </c>
      <c r="J968" s="35">
        <f>VLOOKUP(Tableau65[[#This Row],[Utilisateur]],Tableau3[[Prenoms (ID)]:[CABINET]],4,FALSE)</f>
        <v>0</v>
      </c>
    </row>
    <row r="969" spans="1:10" x14ac:dyDescent="0.25">
      <c r="A969" s="2">
        <v>45973</v>
      </c>
      <c r="B969" t="s">
        <v>52</v>
      </c>
      <c r="C969" s="6">
        <v>1</v>
      </c>
      <c r="D969" t="s">
        <v>15</v>
      </c>
      <c r="G969" t="s">
        <v>399</v>
      </c>
      <c r="H969" s="35" t="str">
        <f>VLOOKUP(Tableau65[[#This Row],[Utilisateur]],Tableau3[[Prenoms (ID)]:[Localisation]],2,FALSE)</f>
        <v>Optique / Sata</v>
      </c>
      <c r="I969" s="35" t="str">
        <f>VLOOKUP(Tableau65[[#This Row],[Utilisateur]],Tableau3[[Prenoms (ID)]:[Localisation]],3,FALSE)</f>
        <v>BNI1</v>
      </c>
      <c r="J969" s="35">
        <f>VLOOKUP(Tableau65[[#This Row],[Utilisateur]],Tableau3[[Prenoms (ID)]:[CABINET]],4,FALSE)</f>
        <v>0</v>
      </c>
    </row>
    <row r="970" spans="1:10" x14ac:dyDescent="0.25">
      <c r="A970" s="2">
        <v>45974</v>
      </c>
      <c r="B970" t="s">
        <v>52</v>
      </c>
      <c r="C970" s="6">
        <v>1</v>
      </c>
      <c r="D970" t="s">
        <v>49</v>
      </c>
      <c r="G970" t="s">
        <v>458</v>
      </c>
      <c r="H970" s="35" t="str">
        <f>VLOOKUP(Tableau65[[#This Row],[Utilisateur]],Tableau3[[Prenoms (ID)]:[Localisation]],2,FALSE)</f>
        <v>Juridique</v>
      </c>
      <c r="I970" s="35" t="str">
        <f>VLOOKUP(Tableau65[[#This Row],[Utilisateur]],Tableau3[[Prenoms (ID)]:[Localisation]],3,FALSE)</f>
        <v>BNI2</v>
      </c>
      <c r="J970" s="35">
        <f>VLOOKUP(Tableau65[[#This Row],[Utilisateur]],Tableau3[[Prenoms (ID)]:[CABINET]],4,FALSE)</f>
        <v>0</v>
      </c>
    </row>
    <row r="971" spans="1:10" x14ac:dyDescent="0.25">
      <c r="A971" s="2">
        <v>45974</v>
      </c>
      <c r="B971" t="s">
        <v>139</v>
      </c>
      <c r="C971" s="6">
        <v>1</v>
      </c>
      <c r="D971" t="s">
        <v>49</v>
      </c>
      <c r="G971" t="s">
        <v>391</v>
      </c>
      <c r="H971" s="35" t="str">
        <f>VLOOKUP(Tableau65[[#This Row],[Utilisateur]],Tableau3[[Prenoms (ID)]:[Localisation]],2,FALSE)</f>
        <v>-</v>
      </c>
      <c r="I971" s="35" t="str">
        <f>VLOOKUP(Tableau65[[#This Row],[Utilisateur]],Tableau3[[Prenoms (ID)]:[Localisation]],3,FALSE)</f>
        <v>BIRA</v>
      </c>
      <c r="J971" s="35" t="str">
        <f>VLOOKUP(Tableau65[[#This Row],[Utilisateur]],Tableau3[[Prenoms (ID)]:[CABINET]],4,FALSE)</f>
        <v>CPA</v>
      </c>
    </row>
    <row r="972" spans="1:10" x14ac:dyDescent="0.25">
      <c r="A972" s="2">
        <v>45975</v>
      </c>
      <c r="B972" t="s">
        <v>25</v>
      </c>
      <c r="C972" s="6">
        <v>1</v>
      </c>
      <c r="D972" t="s">
        <v>49</v>
      </c>
      <c r="G972" t="s">
        <v>637</v>
      </c>
      <c r="H972" s="35" t="str">
        <f>VLOOKUP(Tableau65[[#This Row],[Utilisateur]],Tableau3[[Prenoms (ID)]:[Localisation]],2,FALSE)</f>
        <v>Apprenti</v>
      </c>
      <c r="I972" s="35" t="str">
        <f>VLOOKUP(Tableau65[[#This Row],[Utilisateur]],Tableau3[[Prenoms (ID)]:[Localisation]],3,FALSE)</f>
        <v>BIRA</v>
      </c>
      <c r="J972" s="35" t="str">
        <f>VLOOKUP(Tableau65[[#This Row],[Utilisateur]],Tableau3[[Prenoms (ID)]:[CABINET]],4,FALSE)</f>
        <v>CPA</v>
      </c>
    </row>
    <row r="973" spans="1:10" x14ac:dyDescent="0.25">
      <c r="A973" s="2">
        <v>45979</v>
      </c>
      <c r="B973" t="s">
        <v>52</v>
      </c>
      <c r="C973" s="6">
        <v>1</v>
      </c>
      <c r="D973" t="s">
        <v>49</v>
      </c>
      <c r="G973" t="s">
        <v>434</v>
      </c>
      <c r="H973" s="35" t="str">
        <f>VLOOKUP(Tableau65[[#This Row],[Utilisateur]],Tableau3[[Prenoms (ID)]:[Localisation]],2,FALSE)</f>
        <v>Optique / Sata</v>
      </c>
      <c r="I973" s="35" t="str">
        <f>VLOOKUP(Tableau65[[#This Row],[Utilisateur]],Tableau3[[Prenoms (ID)]:[Localisation]],3,FALSE)</f>
        <v>BNI1</v>
      </c>
      <c r="J973" s="35">
        <f>VLOOKUP(Tableau65[[#This Row],[Utilisateur]],Tableau3[[Prenoms (ID)]:[CABINET]],4,FALSE)</f>
        <v>0</v>
      </c>
    </row>
  </sheetData>
  <mergeCells count="1">
    <mergeCell ref="A1:M1"/>
  </mergeCells>
  <phoneticPr fontId="11" type="noConversion"/>
  <conditionalFormatting sqref="C2:C1048576">
    <cfRule type="cellIs" dxfId="27" priority="1" operator="lessThan">
      <formula>0</formula>
    </cfRule>
  </conditionalFormatting>
  <dataValidations count="2">
    <dataValidation type="list" allowBlank="1" showInputMessage="1" showErrorMessage="1" sqref="B3:B973">
      <formula1>articles</formula1>
    </dataValidation>
    <dataValidation type="list" allowBlank="1" showInputMessage="1" showErrorMessage="1" sqref="K3:K736 G3:G973">
      <formula1>utilisateurs</formula1>
    </dataValidation>
  </dataValidations>
  <pageMargins left="0.7" right="0.7" top="0.75" bottom="0.75" header="0.3" footer="0.3"/>
  <pageSetup paperSize="9" orientation="portrait" r:id="rId1"/>
  <ignoredErrors>
    <ignoredError sqref="J805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utilisateurs_articles!$O$3:$O$4</xm:f>
          </x14:formula1>
          <xm:sqref>L3:L736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4"/>
  <sheetViews>
    <sheetView workbookViewId="0">
      <pane xSplit="1" ySplit="6" topLeftCell="B28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baseColWidth="10" defaultColWidth="11.42578125" defaultRowHeight="15" x14ac:dyDescent="0.25"/>
  <cols>
    <col min="1" max="1" width="43.7109375" customWidth="1"/>
    <col min="2" max="2" width="14.28515625" customWidth="1"/>
    <col min="3" max="3" width="14" customWidth="1"/>
    <col min="4" max="4" width="18" customWidth="1"/>
    <col min="5" max="5" width="14.28515625" customWidth="1"/>
    <col min="7" max="7" width="14.42578125" customWidth="1"/>
    <col min="9" max="9" width="17.7109375" customWidth="1"/>
  </cols>
  <sheetData>
    <row r="1" spans="1:9" ht="23.25" customHeight="1" x14ac:dyDescent="0.4">
      <c r="A1" s="9" t="s">
        <v>695</v>
      </c>
      <c r="C1" s="25" t="s">
        <v>696</v>
      </c>
      <c r="D1" s="25" t="s">
        <v>304</v>
      </c>
      <c r="E1" s="10"/>
    </row>
    <row r="2" spans="1:9" s="7" customFormat="1" ht="15" customHeight="1" x14ac:dyDescent="0.25">
      <c r="B2" s="8" t="s">
        <v>697</v>
      </c>
      <c r="C2" s="23">
        <v>45292</v>
      </c>
      <c r="D2" s="23">
        <v>45292</v>
      </c>
      <c r="G2" s="21"/>
      <c r="I2" s="21"/>
    </row>
    <row r="3" spans="1:9" s="7" customFormat="1" x14ac:dyDescent="0.25">
      <c r="A3" s="28" t="s">
        <v>698</v>
      </c>
      <c r="B3" s="26" t="s">
        <v>699</v>
      </c>
      <c r="C3" s="23">
        <v>45473</v>
      </c>
      <c r="D3" s="23">
        <v>45473</v>
      </c>
      <c r="E3" s="1"/>
      <c r="F3" s="1"/>
      <c r="G3" s="21"/>
      <c r="I3" s="24"/>
    </row>
    <row r="4" spans="1:9" s="7" customFormat="1" ht="30" x14ac:dyDescent="0.25">
      <c r="A4" s="8"/>
      <c r="B4" s="26"/>
      <c r="C4" s="3" t="str">
        <f>IF(date_min_entree&lt;=date_max_entree," &lt; ok, pas d'erreur date ","&gt; Erreur! Vérifier vos dates")</f>
        <v xml:space="preserve"> &lt; ok, pas d'erreur date </v>
      </c>
      <c r="D4" s="3" t="str">
        <f>IF(date_min_sortie&lt;=date_max_sortie," &lt; ok, pas d'erreur date ","&gt; Erreur! Vérifier vos dates")</f>
        <v xml:space="preserve"> &lt; ok, pas d'erreur date </v>
      </c>
      <c r="E4" s="1"/>
      <c r="F4" s="1"/>
      <c r="G4" s="21"/>
      <c r="I4" s="24"/>
    </row>
    <row r="5" spans="1:9" x14ac:dyDescent="0.25">
      <c r="B5" s="71" t="s">
        <v>700</v>
      </c>
      <c r="C5" s="71"/>
      <c r="D5" s="71"/>
      <c r="E5" s="71"/>
    </row>
    <row r="6" spans="1:9" s="3" customFormat="1" ht="21" customHeight="1" x14ac:dyDescent="0.25">
      <c r="A6" s="3" t="s">
        <v>701</v>
      </c>
      <c r="B6" s="18" t="s">
        <v>4</v>
      </c>
      <c r="C6" s="19" t="s">
        <v>702</v>
      </c>
      <c r="D6" s="19" t="s">
        <v>703</v>
      </c>
      <c r="E6" s="20" t="s">
        <v>704</v>
      </c>
      <c r="I6" s="11"/>
    </row>
    <row r="7" spans="1:9" x14ac:dyDescent="0.25">
      <c r="A7" t="s">
        <v>73</v>
      </c>
      <c r="C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7">
        <f>Tableau7[[#This Row],[Qtté en entrée]]-Tableau7[[#This Row],[Qttée en Sortie]]</f>
        <v>0</v>
      </c>
    </row>
    <row r="8" spans="1:9" x14ac:dyDescent="0.25">
      <c r="A8" t="s">
        <v>25</v>
      </c>
      <c r="C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8">
        <f>SUMIFS(Tableau65[Qtté],Tableau65[Designation de l article],Tableau7[[#This Row],[Article]],Tableau65[Livraison interne],"&lt;&gt;oui",Tableau65[Date de sortie],"&gt;="&amp;date_min_sortie,Tableau65[Date de sortie],"&lt;="&amp;date_max_sortie)</f>
        <v>4</v>
      </c>
      <c r="E8">
        <f>Tableau7[[#This Row],[Qtté en entrée]]-Tableau7[[#This Row],[Qttée en Sortie]]</f>
        <v>-4</v>
      </c>
    </row>
    <row r="9" spans="1:9" x14ac:dyDescent="0.25">
      <c r="A9" t="s">
        <v>705</v>
      </c>
      <c r="C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9">
        <f>Tableau7[[#This Row],[Qtté en entrée]]-Tableau7[[#This Row],[Qttée en Sortie]]</f>
        <v>0</v>
      </c>
    </row>
    <row r="10" spans="1:9" x14ac:dyDescent="0.25">
      <c r="A10" t="s">
        <v>58</v>
      </c>
      <c r="C10">
        <f>SUMIFS(Tableau6[Qtté],Tableau6[Designation de l article],Tableau7[[#This Row],[Article]],Tableau6[Utilisateur],"*MADAFIT*",Tableau6[Date d entree],"&gt;="&amp;date_min_entree,Tableau6[Date d entree],"&lt;="&amp;date_max_entree)</f>
        <v>1</v>
      </c>
      <c r="D10">
        <f>SUMIFS(Tableau65[Qtté],Tableau65[Designation de l article],Tableau7[[#This Row],[Article]],Tableau65[Livraison interne],"&lt;&gt;oui",Tableau65[Date de sortie],"&gt;="&amp;date_min_sortie,Tableau65[Date de sortie],"&lt;="&amp;date_max_sortie)</f>
        <v>8</v>
      </c>
      <c r="E10">
        <f>Tableau7[[#This Row],[Qtté en entrée]]-Tableau7[[#This Row],[Qttée en Sortie]]</f>
        <v>-7</v>
      </c>
    </row>
    <row r="11" spans="1:9" x14ac:dyDescent="0.25">
      <c r="A11" t="s">
        <v>706</v>
      </c>
      <c r="C1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1">
        <f>Tableau7[[#This Row],[Qtté en entrée]]-Tableau7[[#This Row],[Qttée en Sortie]]</f>
        <v>0</v>
      </c>
    </row>
    <row r="12" spans="1:9" x14ac:dyDescent="0.25">
      <c r="A12" t="s">
        <v>64</v>
      </c>
      <c r="C1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2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2">
        <f>Tableau7[[#This Row],[Qtté en entrée]]-Tableau7[[#This Row],[Qttée en Sortie]]</f>
        <v>-9</v>
      </c>
    </row>
    <row r="13" spans="1:9" x14ac:dyDescent="0.25">
      <c r="A13" t="s">
        <v>707</v>
      </c>
      <c r="C1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3">
        <f>Tableau7[[#This Row],[Qtté en entrée]]-Tableau7[[#This Row],[Qttée en Sortie]]</f>
        <v>0</v>
      </c>
    </row>
    <row r="14" spans="1:9" x14ac:dyDescent="0.25">
      <c r="A14" t="s">
        <v>139</v>
      </c>
      <c r="C14">
        <f>SUMIFS(Tableau6[Qtté],Tableau6[Designation de l article],Tableau7[[#This Row],[Article]],Tableau6[Utilisateur],"*MADAFIT*",Tableau6[Date d entree],"&gt;="&amp;date_min_entree,Tableau6[Date d entree],"&lt;="&amp;date_max_entree)</f>
        <v>20</v>
      </c>
      <c r="D14">
        <f>SUMIFS(Tableau65[Qtté],Tableau65[Designation de l article],Tableau7[[#This Row],[Article]],Tableau65[Livraison interne],"&lt;&gt;oui",Tableau65[Date de sortie],"&gt;="&amp;date_min_sortie,Tableau65[Date de sortie],"&lt;="&amp;date_max_sortie)</f>
        <v>9</v>
      </c>
      <c r="E14">
        <f>Tableau7[[#This Row],[Qtté en entrée]]-Tableau7[[#This Row],[Qttée en Sortie]]</f>
        <v>11</v>
      </c>
    </row>
    <row r="15" spans="1:9" x14ac:dyDescent="0.25">
      <c r="A15" t="s">
        <v>708</v>
      </c>
      <c r="C1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5">
        <f>Tableau7[[#This Row],[Qtté en entrée]]-Tableau7[[#This Row],[Qttée en Sortie]]</f>
        <v>0</v>
      </c>
    </row>
    <row r="16" spans="1:9" x14ac:dyDescent="0.25">
      <c r="A16" t="s">
        <v>18</v>
      </c>
      <c r="C1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6">
        <f>SUMIFS(Tableau65[Qtté],Tableau65[Designation de l article],Tableau7[[#This Row],[Article]],Tableau65[Livraison interne],"&lt;&gt;oui",Tableau65[Date de sortie],"&gt;="&amp;date_min_sortie,Tableau65[Date de sortie],"&lt;="&amp;date_max_sortie)</f>
        <v>300</v>
      </c>
      <c r="E16">
        <f>Tableau7[[#This Row],[Qtté en entrée]]-Tableau7[[#This Row],[Qttée en Sortie]]</f>
        <v>-300</v>
      </c>
    </row>
    <row r="17" spans="1:8" x14ac:dyDescent="0.25">
      <c r="A17" t="s">
        <v>60</v>
      </c>
      <c r="C1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7">
        <f>SUMIFS(Tableau65[Qtté],Tableau65[Designation de l article],Tableau7[[#This Row],[Article]],Tableau65[Livraison interne],"&lt;&gt;oui",Tableau65[Date de sortie],"&gt;="&amp;date_min_sortie,Tableau65[Date de sortie],"&lt;="&amp;date_max_sortie)</f>
        <v>7</v>
      </c>
      <c r="E17">
        <f>Tableau7[[#This Row],[Qtté en entrée]]-Tableau7[[#This Row],[Qttée en Sortie]]</f>
        <v>-7</v>
      </c>
    </row>
    <row r="18" spans="1:8" x14ac:dyDescent="0.25">
      <c r="A18" t="s">
        <v>709</v>
      </c>
      <c r="C1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8">
        <f>Tableau7[[#This Row],[Qtté en entrée]]-Tableau7[[#This Row],[Qttée en Sortie]]</f>
        <v>0</v>
      </c>
    </row>
    <row r="19" spans="1:8" x14ac:dyDescent="0.25">
      <c r="A19" t="s">
        <v>710</v>
      </c>
      <c r="C19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19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19">
        <f>Tableau7[[#This Row],[Qtté en entrée]]-Tableau7[[#This Row],[Qttée en Sortie]]</f>
        <v>0</v>
      </c>
    </row>
    <row r="20" spans="1:8" x14ac:dyDescent="0.25">
      <c r="A20" t="s">
        <v>24</v>
      </c>
      <c r="C20">
        <f>SUMIFS(Tableau6[Qtté],Tableau6[Designation de l article],Tableau7[[#This Row],[Article]],Tableau6[Utilisateur],"*MADAFIT*",Tableau6[Date d entree],"&gt;="&amp;date_min_entree,Tableau6[Date d entree],"&lt;="&amp;date_max_entree)</f>
        <v>4</v>
      </c>
      <c r="D20">
        <f>SUMIFS(Tableau65[Qtté],Tableau65[Designation de l article],Tableau7[[#This Row],[Article]],Tableau65[Livraison interne],"&lt;&gt;oui",Tableau65[Date de sortie],"&gt;="&amp;date_min_sortie,Tableau65[Date de sortie],"&lt;="&amp;date_max_sortie)</f>
        <v>23</v>
      </c>
      <c r="E20">
        <f>Tableau7[[#This Row],[Qtté en entrée]]-Tableau7[[#This Row],[Qttée en Sortie]]</f>
        <v>-19</v>
      </c>
    </row>
    <row r="21" spans="1:8" x14ac:dyDescent="0.25">
      <c r="A21" t="s">
        <v>253</v>
      </c>
      <c r="C2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1">
        <f>SUMIFS(Tableau65[Qtté],Tableau65[Designation de l article],Tableau7[[#This Row],[Article]],Tableau65[Livraison interne],"&lt;&gt;oui",Tableau65[Date de sortie],"&gt;="&amp;date_min_sortie,Tableau65[Date de sortie],"&lt;="&amp;date_max_sortie)</f>
        <v>200</v>
      </c>
      <c r="E21">
        <f>Tableau7[[#This Row],[Qtté en entrée]]-Tableau7[[#This Row],[Qttée en Sortie]]</f>
        <v>-200</v>
      </c>
    </row>
    <row r="22" spans="1:8" x14ac:dyDescent="0.25">
      <c r="A22" t="s">
        <v>28</v>
      </c>
      <c r="C2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2">
        <f>SUMIFS(Tableau65[Qtté],Tableau65[Designation de l article],Tableau7[[#This Row],[Article]],Tableau65[Livraison interne],"&lt;&gt;oui",Tableau65[Date de sortie],"&gt;="&amp;date_min_sortie,Tableau65[Date de sortie],"&lt;="&amp;date_max_sortie)</f>
        <v>11</v>
      </c>
      <c r="E22">
        <f>Tableau7[[#This Row],[Qtté en entrée]]-Tableau7[[#This Row],[Qttée en Sortie]]</f>
        <v>-11</v>
      </c>
    </row>
    <row r="23" spans="1:8" x14ac:dyDescent="0.25">
      <c r="A23" t="s">
        <v>91</v>
      </c>
      <c r="C2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3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23">
        <f>Tableau7[[#This Row],[Qtté en entrée]]-Tableau7[[#This Row],[Qttée en Sortie]]</f>
        <v>-2</v>
      </c>
    </row>
    <row r="24" spans="1:8" x14ac:dyDescent="0.25">
      <c r="A24" t="s">
        <v>711</v>
      </c>
      <c r="C24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4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4">
        <f>Tableau7[[#This Row],[Qtté en entrée]]-Tableau7[[#This Row],[Qttée en Sortie]]</f>
        <v>0</v>
      </c>
      <c r="G24" s="2"/>
    </row>
    <row r="25" spans="1:8" x14ac:dyDescent="0.25">
      <c r="A25" t="s">
        <v>712</v>
      </c>
      <c r="C25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5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5">
        <f>Tableau7[[#This Row],[Qtté en entrée]]-Tableau7[[#This Row],[Qttée en Sortie]]</f>
        <v>0</v>
      </c>
    </row>
    <row r="26" spans="1:8" x14ac:dyDescent="0.25">
      <c r="A26" t="s">
        <v>713</v>
      </c>
      <c r="C26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6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6">
        <f>Tableau7[[#This Row],[Qtté en entrée]]-Tableau7[[#This Row],[Qttée en Sortie]]</f>
        <v>0</v>
      </c>
      <c r="H26" s="22"/>
    </row>
    <row r="27" spans="1:8" x14ac:dyDescent="0.25">
      <c r="A27" t="s">
        <v>714</v>
      </c>
      <c r="C27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7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7">
        <f>Tableau7[[#This Row],[Qtté en entrée]]-Tableau7[[#This Row],[Qttée en Sortie]]</f>
        <v>0</v>
      </c>
    </row>
    <row r="28" spans="1:8" x14ac:dyDescent="0.25">
      <c r="A28" t="s">
        <v>715</v>
      </c>
      <c r="C28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28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28">
        <f>Tableau7[[#This Row],[Qtté en entrée]]-Tableau7[[#This Row],[Qttée en Sortie]]</f>
        <v>0</v>
      </c>
    </row>
    <row r="29" spans="1:8" x14ac:dyDescent="0.25">
      <c r="A29" t="s">
        <v>52</v>
      </c>
      <c r="C29">
        <f>SUMIFS(Tableau6[Qtté],Tableau6[Designation de l article],Tableau7[[#This Row],[Article]],Tableau6[Utilisateur],"*MADAFIT*",Tableau6[Date d entree],"&gt;="&amp;date_min_entree,Tableau6[Date d entree],"&lt;="&amp;date_max_entree)</f>
        <v>80</v>
      </c>
      <c r="D29">
        <f>SUMIFS(Tableau65[Qtté],Tableau65[Designation de l article],Tableau7[[#This Row],[Article]],Tableau65[Livraison interne],"&lt;&gt;oui",Tableau65[Date de sortie],"&gt;="&amp;date_min_sortie,Tableau65[Date de sortie],"&lt;="&amp;date_max_sortie)</f>
        <v>87</v>
      </c>
      <c r="E29">
        <f>Tableau7[[#This Row],[Qtté en entrée]]-Tableau7[[#This Row],[Qttée en Sortie]]</f>
        <v>-7</v>
      </c>
    </row>
    <row r="30" spans="1:8" x14ac:dyDescent="0.25">
      <c r="A30" t="s">
        <v>65</v>
      </c>
      <c r="C30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0">
        <f>SUMIFS(Tableau65[Qtté],Tableau65[Designation de l article],Tableau7[[#This Row],[Article]],Tableau65[Livraison interne],"&lt;&gt;oui",Tableau65[Date de sortie],"&gt;="&amp;date_min_sortie,Tableau65[Date de sortie],"&lt;="&amp;date_max_sortie)</f>
        <v>2</v>
      </c>
      <c r="E30">
        <f>Tableau7[[#This Row],[Qtté en entrée]]-Tableau7[[#This Row],[Qttée en Sortie]]</f>
        <v>-2</v>
      </c>
    </row>
    <row r="31" spans="1:8" x14ac:dyDescent="0.25">
      <c r="A31" t="s">
        <v>716</v>
      </c>
      <c r="C31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1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1">
        <f>Tableau7[[#This Row],[Qtté en entrée]]-Tableau7[[#This Row],[Qttée en Sortie]]</f>
        <v>0</v>
      </c>
    </row>
    <row r="32" spans="1:8" x14ac:dyDescent="0.25">
      <c r="A32" t="s">
        <v>717</v>
      </c>
      <c r="C32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2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2">
        <f>Tableau7[[#This Row],[Qtté en entrée]]-Tableau7[[#This Row],[Qttée en Sortie]]</f>
        <v>0</v>
      </c>
    </row>
    <row r="33" spans="1:5" x14ac:dyDescent="0.25">
      <c r="A33" t="s">
        <v>718</v>
      </c>
      <c r="C33">
        <f>SUMIFS(Tableau6[Qtté],Tableau6[Designation de l article],Tableau7[[#This Row],[Article]],Tableau6[Utilisateur],"*MADAFIT*",Tableau6[Date d entree],"&gt;="&amp;date_min_entree,Tableau6[Date d entree],"&lt;="&amp;date_max_entree)</f>
        <v>0</v>
      </c>
      <c r="D33">
        <f>SUMIFS(Tableau65[Qtté],Tableau65[Designation de l article],Tableau7[[#This Row],[Article]],Tableau65[Livraison interne],"&lt;&gt;oui",Tableau65[Date de sortie],"&gt;="&amp;date_min_sortie,Tableau65[Date de sortie],"&lt;="&amp;date_max_sortie)</f>
        <v>0</v>
      </c>
      <c r="E33">
        <f>Tableau7[[#This Row],[Qtté en entrée]]-Tableau7[[#This Row],[Qttée en Sortie]]</f>
        <v>0</v>
      </c>
    </row>
    <row r="34" spans="1:5" x14ac:dyDescent="0.25">
      <c r="A34" t="s">
        <v>54</v>
      </c>
      <c r="C34">
        <f>SUMIFS(Tableau6[Qtté],Tableau6[Designation de l article],Tableau7[[#This Row],[Article]],Tableau6[Utilisateur],"*MADAFIT*",Tableau6[Date d entree],"&gt;="&amp;date_min_entree,Tableau6[Date d entree],"&lt;="&amp;date_max_entree)</f>
        <v>40</v>
      </c>
      <c r="D34">
        <f>SUMIFS(Tableau65[Qtté],Tableau65[Designation de l article],Tableau7[[#This Row],[Article]],Tableau65[Livraison interne],"&lt;&gt;oui",Tableau65[Date de sortie],"&gt;="&amp;date_min_sortie,Tableau65[Date de sortie],"&lt;="&amp;date_max_sortie)</f>
        <v>14</v>
      </c>
      <c r="E34">
        <f>Tableau7[[#This Row],[Qtté en entrée]]-Tableau7[[#This Row],[Qttée en Sortie]]</f>
        <v>26</v>
      </c>
    </row>
  </sheetData>
  <dataConsolidate/>
  <mergeCells count="1">
    <mergeCell ref="B5:E5"/>
  </mergeCells>
  <conditionalFormatting sqref="C4:D4">
    <cfRule type="containsText" dxfId="20" priority="1" operator="containsText" text="&lt;">
      <formula>NOT(ISERROR(SEARCH("&lt;",C4)))</formula>
    </cfRule>
    <cfRule type="containsText" dxfId="19" priority="2" operator="containsText" text="&gt;">
      <formula>NOT(ISERROR(SEARCH("&gt;",C4)))</formula>
    </cfRule>
  </conditionalFormatting>
  <conditionalFormatting sqref="E3:E4">
    <cfRule type="containsText" dxfId="18" priority="5" operator="containsText" text="&lt;">
      <formula>NOT(ISERROR(SEARCH("&lt;",E3)))</formula>
    </cfRule>
    <cfRule type="containsText" dxfId="17" priority="6" operator="containsText" text="&gt;">
      <formula>NOT(ISERROR(SEARCH("&gt;",E3)))</formula>
    </cfRule>
  </conditionalFormatting>
  <conditionalFormatting sqref="E7:E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ntainsText" dxfId="16" priority="7" operator="containsText" text="OK">
      <formula>NOT(ISERROR(SEARCH("OK",H2)))</formula>
    </cfRule>
    <cfRule type="containsText" dxfId="15" priority="8" operator="containsText" text="Erreur">
      <formula>NOT(ISERROR(SEARCH("Erreur",H2)))</formula>
    </cfRule>
  </conditionalFormatting>
  <conditionalFormatting sqref="I3:I4">
    <cfRule type="containsText" dxfId="14" priority="3" operator="containsText" text="&lt;">
      <formula>NOT(ISERROR(SEARCH("&lt;",I3)))</formula>
    </cfRule>
    <cfRule type="containsText" dxfId="13" priority="4" operator="containsText" text="&gt;">
      <formula>NOT(ISERROR(SEARCH("&gt;",I3)))</formula>
    </cfRule>
  </conditionalFormatting>
  <dataValidations count="1">
    <dataValidation type="list" allowBlank="1" showInputMessage="1" showErrorMessage="1" sqref="A7:A34">
      <formula1>articles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P480"/>
  <sheetViews>
    <sheetView tabSelected="1" topLeftCell="K1" zoomScale="80" zoomScaleNormal="80" workbookViewId="0">
      <pane ySplit="2" topLeftCell="A3" activePane="bottomLeft" state="frozen"/>
      <selection activeCell="B31" sqref="B31"/>
      <selection pane="bottomLeft" activeCell="L5" sqref="L5"/>
    </sheetView>
  </sheetViews>
  <sheetFormatPr baseColWidth="10" defaultColWidth="11.42578125" defaultRowHeight="15" customHeight="1" x14ac:dyDescent="0.25"/>
  <cols>
    <col min="1" max="1" width="52.42578125" customWidth="1"/>
    <col min="2" max="2" width="23.7109375" bestFit="1" customWidth="1"/>
    <col min="3" max="3" width="17.42578125" bestFit="1" customWidth="1"/>
    <col min="4" max="4" width="13.7109375" bestFit="1" customWidth="1"/>
    <col min="5" max="5" width="13.7109375" customWidth="1"/>
    <col min="7" max="7" width="82.5703125" customWidth="1"/>
    <col min="8" max="8" width="8.28515625" bestFit="1" customWidth="1"/>
    <col min="9" max="9" width="14.42578125" style="33" bestFit="1" customWidth="1"/>
    <col min="10" max="10" width="12.5703125" style="33" bestFit="1" customWidth="1"/>
    <col min="11" max="11" width="9" style="33" bestFit="1" customWidth="1"/>
    <col min="12" max="12" width="52.140625" customWidth="1"/>
    <col min="13" max="13" width="16.42578125" customWidth="1"/>
    <col min="14" max="14" width="15.28515625" customWidth="1"/>
    <col min="16" max="16" width="75.42578125" bestFit="1" customWidth="1"/>
  </cols>
  <sheetData>
    <row r="1" spans="1:16" ht="22.5" customHeight="1" x14ac:dyDescent="0.25">
      <c r="A1" s="72" t="s">
        <v>719</v>
      </c>
      <c r="B1" s="72"/>
      <c r="C1" s="72"/>
      <c r="G1" s="73"/>
      <c r="H1" s="73"/>
      <c r="I1" s="73"/>
      <c r="J1" s="73"/>
      <c r="K1" s="73"/>
      <c r="O1" s="68"/>
      <c r="P1" s="68"/>
    </row>
    <row r="2" spans="1:16" s="3" customFormat="1" ht="33" customHeight="1" x14ac:dyDescent="0.25">
      <c r="A2" s="3" t="s">
        <v>281</v>
      </c>
      <c r="B2" s="3" t="s">
        <v>720</v>
      </c>
      <c r="C2" s="3" t="s">
        <v>8</v>
      </c>
      <c r="D2" s="3" t="s">
        <v>9</v>
      </c>
      <c r="E2" s="3" t="s">
        <v>10</v>
      </c>
      <c r="I2" s="32"/>
      <c r="J2" s="32"/>
      <c r="K2" s="32"/>
    </row>
    <row r="3" spans="1:16" x14ac:dyDescent="0.25">
      <c r="A3" t="s">
        <v>721</v>
      </c>
      <c r="B3" t="s">
        <v>722</v>
      </c>
      <c r="C3" t="s">
        <v>723</v>
      </c>
      <c r="D3" t="s">
        <v>724</v>
      </c>
      <c r="L3" s="53"/>
      <c r="M3" s="37"/>
      <c r="N3" s="33"/>
    </row>
    <row r="4" spans="1:16" x14ac:dyDescent="0.25">
      <c r="A4" t="s">
        <v>1147</v>
      </c>
      <c r="B4" t="s">
        <v>1148</v>
      </c>
      <c r="C4" t="s">
        <v>739</v>
      </c>
      <c r="D4" t="s">
        <v>740</v>
      </c>
      <c r="L4" s="4"/>
      <c r="M4" s="37"/>
      <c r="N4" s="33"/>
    </row>
    <row r="5" spans="1:16" x14ac:dyDescent="0.25">
      <c r="A5" t="s">
        <v>726</v>
      </c>
      <c r="B5" t="s">
        <v>559</v>
      </c>
      <c r="C5" t="s">
        <v>254</v>
      </c>
      <c r="D5" t="s">
        <v>311</v>
      </c>
      <c r="L5" s="4"/>
      <c r="M5" s="37"/>
      <c r="N5" s="33"/>
    </row>
    <row r="6" spans="1:16" x14ac:dyDescent="0.25">
      <c r="A6" t="s">
        <v>727</v>
      </c>
      <c r="B6" t="s">
        <v>441</v>
      </c>
      <c r="C6" t="s">
        <v>728</v>
      </c>
      <c r="D6" t="s">
        <v>729</v>
      </c>
      <c r="L6" s="4"/>
      <c r="M6" s="37"/>
      <c r="N6" s="33"/>
    </row>
    <row r="7" spans="1:16" x14ac:dyDescent="0.25">
      <c r="A7" t="s">
        <v>730</v>
      </c>
      <c r="B7" t="s">
        <v>430</v>
      </c>
      <c r="C7" t="s">
        <v>731</v>
      </c>
      <c r="D7" t="s">
        <v>732</v>
      </c>
      <c r="E7" t="s">
        <v>26</v>
      </c>
      <c r="L7" s="53"/>
      <c r="M7" s="37"/>
      <c r="N7" s="33"/>
    </row>
    <row r="8" spans="1:16" x14ac:dyDescent="0.25">
      <c r="A8" t="s">
        <v>733</v>
      </c>
      <c r="B8" t="s">
        <v>496</v>
      </c>
      <c r="C8" t="s">
        <v>734</v>
      </c>
      <c r="D8" t="s">
        <v>735</v>
      </c>
      <c r="L8" s="4"/>
      <c r="M8" s="37"/>
      <c r="N8" s="33"/>
    </row>
    <row r="9" spans="1:16" x14ac:dyDescent="0.25">
      <c r="A9" t="s">
        <v>736</v>
      </c>
      <c r="B9" t="s">
        <v>656</v>
      </c>
      <c r="C9" t="s">
        <v>731</v>
      </c>
      <c r="D9" t="s">
        <v>732</v>
      </c>
      <c r="E9" t="s">
        <v>26</v>
      </c>
      <c r="L9" s="4"/>
      <c r="M9" s="37"/>
      <c r="N9" s="33"/>
    </row>
    <row r="10" spans="1:16" x14ac:dyDescent="0.25">
      <c r="A10" t="s">
        <v>737</v>
      </c>
      <c r="B10" t="s">
        <v>565</v>
      </c>
      <c r="C10" t="s">
        <v>734</v>
      </c>
      <c r="D10" t="s">
        <v>735</v>
      </c>
      <c r="M10" s="37"/>
      <c r="N10" s="33"/>
    </row>
    <row r="11" spans="1:16" x14ac:dyDescent="0.25">
      <c r="A11" t="s">
        <v>738</v>
      </c>
      <c r="B11" t="s">
        <v>544</v>
      </c>
      <c r="C11" t="s">
        <v>739</v>
      </c>
      <c r="D11" t="s">
        <v>740</v>
      </c>
      <c r="L11" s="4"/>
      <c r="M11" s="37"/>
      <c r="N11" s="33"/>
    </row>
    <row r="12" spans="1:16" x14ac:dyDescent="0.25">
      <c r="A12" t="s">
        <v>741</v>
      </c>
      <c r="B12" t="s">
        <v>467</v>
      </c>
      <c r="C12" t="s">
        <v>742</v>
      </c>
      <c r="D12" t="s">
        <v>740</v>
      </c>
      <c r="M12" s="37"/>
      <c r="N12" s="33"/>
    </row>
    <row r="13" spans="1:16" x14ac:dyDescent="0.25">
      <c r="A13" t="s">
        <v>743</v>
      </c>
      <c r="B13" t="s">
        <v>676</v>
      </c>
      <c r="C13" t="s">
        <v>731</v>
      </c>
      <c r="D13" t="s">
        <v>744</v>
      </c>
      <c r="E13" t="s">
        <v>26</v>
      </c>
      <c r="M13" s="37"/>
      <c r="N13" s="33"/>
    </row>
    <row r="14" spans="1:16" x14ac:dyDescent="0.25">
      <c r="A14" t="s">
        <v>745</v>
      </c>
      <c r="B14" t="s">
        <v>505</v>
      </c>
      <c r="C14" t="s">
        <v>746</v>
      </c>
      <c r="D14" t="s">
        <v>740</v>
      </c>
      <c r="M14" s="37"/>
      <c r="N14" s="33"/>
    </row>
    <row r="15" spans="1:16" x14ac:dyDescent="0.25">
      <c r="A15" t="s">
        <v>747</v>
      </c>
      <c r="B15" t="s">
        <v>748</v>
      </c>
      <c r="C15" t="s">
        <v>254</v>
      </c>
      <c r="D15" t="s">
        <v>311</v>
      </c>
      <c r="M15" s="37"/>
      <c r="N15" s="33"/>
    </row>
    <row r="16" spans="1:16" x14ac:dyDescent="0.25">
      <c r="A16" t="s">
        <v>749</v>
      </c>
      <c r="B16" t="s">
        <v>400</v>
      </c>
      <c r="C16" t="s">
        <v>731</v>
      </c>
      <c r="D16" t="s">
        <v>732</v>
      </c>
      <c r="E16" t="s">
        <v>26</v>
      </c>
      <c r="M16" s="37"/>
      <c r="N16" s="33"/>
    </row>
    <row r="17" spans="1:14" x14ac:dyDescent="0.25">
      <c r="A17" t="s">
        <v>750</v>
      </c>
      <c r="B17" t="s">
        <v>87</v>
      </c>
      <c r="C17" t="s">
        <v>751</v>
      </c>
      <c r="D17" t="s">
        <v>752</v>
      </c>
      <c r="E17" t="s">
        <v>26</v>
      </c>
      <c r="M17" s="37"/>
      <c r="N17" s="33"/>
    </row>
    <row r="18" spans="1:14" x14ac:dyDescent="0.25">
      <c r="A18" t="s">
        <v>753</v>
      </c>
      <c r="B18" t="s">
        <v>754</v>
      </c>
      <c r="C18" t="s">
        <v>311</v>
      </c>
      <c r="D18" t="s">
        <v>755</v>
      </c>
      <c r="E18" t="s">
        <v>26</v>
      </c>
      <c r="M18" s="37"/>
      <c r="N18" s="33"/>
    </row>
    <row r="19" spans="1:14" x14ac:dyDescent="0.25">
      <c r="A19" t="s">
        <v>756</v>
      </c>
      <c r="B19" s="35" t="s">
        <v>210</v>
      </c>
      <c r="C19" t="s">
        <v>757</v>
      </c>
      <c r="D19" s="35" t="s">
        <v>729</v>
      </c>
      <c r="M19" s="37"/>
      <c r="N19" s="33"/>
    </row>
    <row r="20" spans="1:14" x14ac:dyDescent="0.25">
      <c r="A20" t="s">
        <v>758</v>
      </c>
      <c r="B20" t="s">
        <v>493</v>
      </c>
      <c r="C20" t="s">
        <v>731</v>
      </c>
      <c r="D20" t="s">
        <v>732</v>
      </c>
      <c r="E20" t="s">
        <v>26</v>
      </c>
      <c r="M20" s="37"/>
      <c r="N20" s="33"/>
    </row>
    <row r="21" spans="1:14" x14ac:dyDescent="0.25">
      <c r="A21" t="s">
        <v>759</v>
      </c>
      <c r="B21" t="s">
        <v>760</v>
      </c>
      <c r="C21" t="s">
        <v>311</v>
      </c>
      <c r="D21" t="s">
        <v>755</v>
      </c>
      <c r="M21" s="37"/>
      <c r="N21" s="33"/>
    </row>
    <row r="22" spans="1:14" x14ac:dyDescent="0.25">
      <c r="A22" t="s">
        <v>761</v>
      </c>
      <c r="B22" t="s">
        <v>681</v>
      </c>
      <c r="C22" t="s">
        <v>723</v>
      </c>
      <c r="D22" t="s">
        <v>762</v>
      </c>
      <c r="M22" s="37"/>
      <c r="N22" s="33"/>
    </row>
    <row r="23" spans="1:14" x14ac:dyDescent="0.25">
      <c r="A23" t="s">
        <v>763</v>
      </c>
      <c r="B23" t="s">
        <v>627</v>
      </c>
      <c r="D23" t="s">
        <v>63</v>
      </c>
      <c r="M23" s="37"/>
      <c r="N23" s="33"/>
    </row>
    <row r="24" spans="1:14" x14ac:dyDescent="0.25">
      <c r="A24" t="s">
        <v>764</v>
      </c>
      <c r="B24" t="s">
        <v>665</v>
      </c>
      <c r="C24" t="s">
        <v>765</v>
      </c>
      <c r="D24" t="s">
        <v>740</v>
      </c>
      <c r="M24" s="37"/>
      <c r="N24" s="33"/>
    </row>
    <row r="25" spans="1:14" x14ac:dyDescent="0.25">
      <c r="A25" t="s">
        <v>766</v>
      </c>
      <c r="B25" t="s">
        <v>576</v>
      </c>
      <c r="C25" t="s">
        <v>731</v>
      </c>
      <c r="D25" t="s">
        <v>732</v>
      </c>
      <c r="E25" t="s">
        <v>26</v>
      </c>
      <c r="M25" s="37"/>
      <c r="N25" s="33"/>
    </row>
    <row r="26" spans="1:14" x14ac:dyDescent="0.25">
      <c r="A26" t="s">
        <v>767</v>
      </c>
      <c r="B26" t="s">
        <v>236</v>
      </c>
      <c r="C26" t="s">
        <v>768</v>
      </c>
      <c r="D26" t="s">
        <v>740</v>
      </c>
      <c r="M26" s="37"/>
      <c r="N26" s="33"/>
    </row>
    <row r="27" spans="1:14" x14ac:dyDescent="0.25">
      <c r="A27" t="s">
        <v>769</v>
      </c>
      <c r="B27" t="s">
        <v>314</v>
      </c>
      <c r="C27" t="s">
        <v>765</v>
      </c>
      <c r="D27" t="s">
        <v>735</v>
      </c>
      <c r="M27" s="37"/>
      <c r="N27" s="33"/>
    </row>
    <row r="28" spans="1:14" x14ac:dyDescent="0.25">
      <c r="A28" t="s">
        <v>770</v>
      </c>
      <c r="B28" t="s">
        <v>512</v>
      </c>
      <c r="C28" t="s">
        <v>731</v>
      </c>
      <c r="D28" t="s">
        <v>732</v>
      </c>
      <c r="E28" t="s">
        <v>26</v>
      </c>
      <c r="M28" s="37"/>
      <c r="N28" s="33"/>
    </row>
    <row r="29" spans="1:14" x14ac:dyDescent="0.25">
      <c r="A29" t="s">
        <v>771</v>
      </c>
      <c r="B29" t="s">
        <v>327</v>
      </c>
      <c r="C29" t="s">
        <v>751</v>
      </c>
      <c r="D29" t="s">
        <v>752</v>
      </c>
      <c r="E29" t="s">
        <v>26</v>
      </c>
      <c r="M29" s="37"/>
      <c r="N29" s="33"/>
    </row>
    <row r="30" spans="1:14" x14ac:dyDescent="0.25">
      <c r="A30" s="12" t="s">
        <v>772</v>
      </c>
      <c r="B30" t="s">
        <v>311</v>
      </c>
      <c r="C30" t="s">
        <v>311</v>
      </c>
      <c r="D30" t="s">
        <v>311</v>
      </c>
      <c r="M30" s="37"/>
      <c r="N30" s="33"/>
    </row>
    <row r="31" spans="1:14" x14ac:dyDescent="0.25">
      <c r="A31" t="s">
        <v>773</v>
      </c>
      <c r="B31" t="s">
        <v>583</v>
      </c>
      <c r="C31" t="s">
        <v>774</v>
      </c>
      <c r="D31" t="s">
        <v>775</v>
      </c>
      <c r="M31" s="37"/>
      <c r="N31" s="33"/>
    </row>
    <row r="32" spans="1:14" x14ac:dyDescent="0.25">
      <c r="A32" t="s">
        <v>776</v>
      </c>
      <c r="B32" s="35" t="s">
        <v>634</v>
      </c>
      <c r="C32" t="s">
        <v>777</v>
      </c>
      <c r="D32" s="35" t="s">
        <v>778</v>
      </c>
      <c r="L32" s="2"/>
      <c r="M32" s="38"/>
      <c r="N32" s="33"/>
    </row>
    <row r="33" spans="1:14" x14ac:dyDescent="0.25">
      <c r="A33" t="s">
        <v>779</v>
      </c>
      <c r="B33" t="s">
        <v>179</v>
      </c>
      <c r="C33" t="s">
        <v>780</v>
      </c>
      <c r="D33" t="s">
        <v>744</v>
      </c>
      <c r="M33" s="38"/>
      <c r="N33" s="33"/>
    </row>
    <row r="34" spans="1:14" x14ac:dyDescent="0.25">
      <c r="A34" t="s">
        <v>781</v>
      </c>
      <c r="B34" t="s">
        <v>443</v>
      </c>
      <c r="C34" t="s">
        <v>782</v>
      </c>
      <c r="D34" t="s">
        <v>780</v>
      </c>
      <c r="M34" s="38"/>
      <c r="N34" s="33"/>
    </row>
    <row r="35" spans="1:14" x14ac:dyDescent="0.25">
      <c r="A35" t="s">
        <v>783</v>
      </c>
      <c r="B35" t="s">
        <v>315</v>
      </c>
      <c r="C35" t="s">
        <v>784</v>
      </c>
      <c r="D35" t="s">
        <v>785</v>
      </c>
      <c r="E35" t="s">
        <v>26</v>
      </c>
      <c r="M35" s="38"/>
      <c r="N35" s="33"/>
    </row>
    <row r="36" spans="1:14" x14ac:dyDescent="0.25">
      <c r="A36" t="s">
        <v>786</v>
      </c>
      <c r="B36" t="s">
        <v>632</v>
      </c>
      <c r="C36" t="s">
        <v>731</v>
      </c>
      <c r="D36" t="s">
        <v>732</v>
      </c>
      <c r="E36" t="s">
        <v>26</v>
      </c>
      <c r="M36" s="38"/>
      <c r="N36" s="33"/>
    </row>
    <row r="37" spans="1:14" x14ac:dyDescent="0.25">
      <c r="A37" t="s">
        <v>787</v>
      </c>
      <c r="B37" t="s">
        <v>383</v>
      </c>
      <c r="C37" t="s">
        <v>788</v>
      </c>
      <c r="D37" t="s">
        <v>735</v>
      </c>
      <c r="M37" s="38"/>
      <c r="N37" s="33"/>
    </row>
    <row r="38" spans="1:14" x14ac:dyDescent="0.25">
      <c r="A38" t="s">
        <v>789</v>
      </c>
      <c r="B38" t="s">
        <v>491</v>
      </c>
      <c r="C38" t="s">
        <v>784</v>
      </c>
      <c r="D38" t="s">
        <v>784</v>
      </c>
      <c r="E38" t="s">
        <v>26</v>
      </c>
      <c r="M38" s="38"/>
      <c r="N38" s="33"/>
    </row>
    <row r="39" spans="1:14" x14ac:dyDescent="0.25">
      <c r="A39" t="s">
        <v>790</v>
      </c>
      <c r="B39" t="s">
        <v>444</v>
      </c>
      <c r="C39" t="s">
        <v>731</v>
      </c>
      <c r="D39" t="s">
        <v>732</v>
      </c>
      <c r="E39" t="s">
        <v>26</v>
      </c>
      <c r="M39" s="38"/>
      <c r="N39" s="33"/>
    </row>
    <row r="40" spans="1:14" x14ac:dyDescent="0.25">
      <c r="A40" t="s">
        <v>791</v>
      </c>
      <c r="B40" t="s">
        <v>792</v>
      </c>
      <c r="C40" t="s">
        <v>254</v>
      </c>
      <c r="D40" t="s">
        <v>311</v>
      </c>
      <c r="M40" s="38"/>
      <c r="N40" s="33"/>
    </row>
    <row r="41" spans="1:14" x14ac:dyDescent="0.25">
      <c r="A41" t="s">
        <v>793</v>
      </c>
      <c r="B41" t="s">
        <v>794</v>
      </c>
      <c r="C41" t="s">
        <v>311</v>
      </c>
      <c r="D41" t="s">
        <v>755</v>
      </c>
      <c r="E41" t="s">
        <v>26</v>
      </c>
      <c r="M41" s="38"/>
      <c r="N41" s="33"/>
    </row>
    <row r="42" spans="1:14" x14ac:dyDescent="0.25">
      <c r="A42" t="s">
        <v>795</v>
      </c>
      <c r="B42" t="s">
        <v>166</v>
      </c>
      <c r="C42" t="s">
        <v>796</v>
      </c>
      <c r="D42" t="s">
        <v>740</v>
      </c>
      <c r="M42" s="38"/>
      <c r="N42" s="33"/>
    </row>
    <row r="43" spans="1:14" x14ac:dyDescent="0.25">
      <c r="A43" t="s">
        <v>797</v>
      </c>
      <c r="B43" t="s">
        <v>473</v>
      </c>
      <c r="C43" t="s">
        <v>798</v>
      </c>
      <c r="D43" t="s">
        <v>740</v>
      </c>
      <c r="M43" s="38"/>
      <c r="N43" s="33"/>
    </row>
    <row r="44" spans="1:14" x14ac:dyDescent="0.25">
      <c r="A44" t="s">
        <v>799</v>
      </c>
      <c r="B44" t="s">
        <v>687</v>
      </c>
      <c r="C44" t="s">
        <v>800</v>
      </c>
      <c r="D44" t="s">
        <v>744</v>
      </c>
      <c r="M44" s="38"/>
      <c r="N44" s="33"/>
    </row>
    <row r="45" spans="1:14" x14ac:dyDescent="0.25">
      <c r="A45" t="s">
        <v>801</v>
      </c>
      <c r="B45" t="s">
        <v>802</v>
      </c>
      <c r="C45" t="s">
        <v>731</v>
      </c>
      <c r="D45" t="s">
        <v>732</v>
      </c>
      <c r="E45" t="s">
        <v>26</v>
      </c>
      <c r="M45" s="38"/>
      <c r="N45" s="33"/>
    </row>
    <row r="46" spans="1:14" x14ac:dyDescent="0.25">
      <c r="A46" t="s">
        <v>803</v>
      </c>
      <c r="B46" t="s">
        <v>567</v>
      </c>
      <c r="C46" t="s">
        <v>765</v>
      </c>
      <c r="D46" t="s">
        <v>735</v>
      </c>
      <c r="M46" s="38"/>
      <c r="N46" s="33"/>
    </row>
    <row r="47" spans="1:14" x14ac:dyDescent="0.25">
      <c r="A47" s="14" t="s">
        <v>804</v>
      </c>
      <c r="B47" t="s">
        <v>258</v>
      </c>
      <c r="C47" t="s">
        <v>788</v>
      </c>
      <c r="D47" t="s">
        <v>735</v>
      </c>
      <c r="M47" s="38"/>
      <c r="N47" s="33"/>
    </row>
    <row r="48" spans="1:14" x14ac:dyDescent="0.25">
      <c r="A48" t="s">
        <v>805</v>
      </c>
      <c r="B48" t="s">
        <v>806</v>
      </c>
      <c r="C48" t="s">
        <v>807</v>
      </c>
      <c r="D48" t="s">
        <v>735</v>
      </c>
      <c r="M48" s="38"/>
      <c r="N48" s="33"/>
    </row>
    <row r="49" spans="1:14" x14ac:dyDescent="0.25">
      <c r="A49" t="s">
        <v>808</v>
      </c>
      <c r="B49" t="s">
        <v>678</v>
      </c>
      <c r="C49" t="s">
        <v>731</v>
      </c>
      <c r="D49" t="s">
        <v>744</v>
      </c>
      <c r="E49" t="s">
        <v>26</v>
      </c>
      <c r="M49" s="38"/>
      <c r="N49" s="33"/>
    </row>
    <row r="50" spans="1:14" x14ac:dyDescent="0.25">
      <c r="A50" t="s">
        <v>809</v>
      </c>
      <c r="B50" t="s">
        <v>514</v>
      </c>
      <c r="C50" t="s">
        <v>810</v>
      </c>
      <c r="D50" t="s">
        <v>735</v>
      </c>
      <c r="M50" s="38"/>
      <c r="N50" s="33"/>
    </row>
    <row r="51" spans="1:14" x14ac:dyDescent="0.25">
      <c r="A51" t="s">
        <v>811</v>
      </c>
      <c r="B51" t="s">
        <v>451</v>
      </c>
      <c r="C51" t="s">
        <v>782</v>
      </c>
      <c r="D51" t="s">
        <v>812</v>
      </c>
      <c r="M51" s="38"/>
      <c r="N51" s="33"/>
    </row>
    <row r="52" spans="1:14" x14ac:dyDescent="0.25">
      <c r="A52" t="s">
        <v>813</v>
      </c>
      <c r="B52" t="s">
        <v>391</v>
      </c>
      <c r="C52" t="s">
        <v>311</v>
      </c>
      <c r="D52" t="s">
        <v>755</v>
      </c>
      <c r="E52" t="s">
        <v>26</v>
      </c>
      <c r="M52" s="38"/>
      <c r="N52" s="33"/>
    </row>
    <row r="53" spans="1:14" x14ac:dyDescent="0.25">
      <c r="A53" t="s">
        <v>814</v>
      </c>
      <c r="B53" t="s">
        <v>348</v>
      </c>
      <c r="C53" t="s">
        <v>746</v>
      </c>
      <c r="D53" t="s">
        <v>740</v>
      </c>
      <c r="M53" s="38"/>
      <c r="N53" s="33"/>
    </row>
    <row r="54" spans="1:14" x14ac:dyDescent="0.25">
      <c r="A54" t="s">
        <v>815</v>
      </c>
      <c r="B54" t="s">
        <v>816</v>
      </c>
      <c r="C54" t="s">
        <v>817</v>
      </c>
      <c r="D54" t="s">
        <v>744</v>
      </c>
      <c r="M54" s="38"/>
      <c r="N54" s="33"/>
    </row>
    <row r="55" spans="1:14" x14ac:dyDescent="0.25">
      <c r="A55" t="s">
        <v>818</v>
      </c>
      <c r="B55" t="s">
        <v>433</v>
      </c>
      <c r="C55" t="s">
        <v>731</v>
      </c>
      <c r="D55" t="s">
        <v>732</v>
      </c>
      <c r="E55" t="s">
        <v>26</v>
      </c>
      <c r="M55" s="38"/>
      <c r="N55" s="33"/>
    </row>
    <row r="56" spans="1:14" x14ac:dyDescent="0.25">
      <c r="A56" t="s">
        <v>819</v>
      </c>
      <c r="B56" t="s">
        <v>820</v>
      </c>
      <c r="C56" t="s">
        <v>731</v>
      </c>
      <c r="D56" t="s">
        <v>732</v>
      </c>
      <c r="E56" t="s">
        <v>26</v>
      </c>
      <c r="M56" s="38"/>
      <c r="N56" s="33"/>
    </row>
    <row r="57" spans="1:14" x14ac:dyDescent="0.25">
      <c r="A57" t="s">
        <v>821</v>
      </c>
      <c r="B57" t="s">
        <v>338</v>
      </c>
      <c r="C57" t="s">
        <v>731</v>
      </c>
      <c r="D57" t="s">
        <v>732</v>
      </c>
      <c r="E57" t="s">
        <v>26</v>
      </c>
      <c r="M57" s="38"/>
      <c r="N57" s="33"/>
    </row>
    <row r="58" spans="1:14" x14ac:dyDescent="0.25">
      <c r="A58" t="s">
        <v>822</v>
      </c>
      <c r="B58" t="s">
        <v>682</v>
      </c>
      <c r="C58" t="s">
        <v>782</v>
      </c>
      <c r="D58" t="s">
        <v>780</v>
      </c>
      <c r="M58" s="38"/>
      <c r="N58" s="33"/>
    </row>
    <row r="59" spans="1:14" x14ac:dyDescent="0.25">
      <c r="A59" t="s">
        <v>823</v>
      </c>
      <c r="B59" s="35" t="s">
        <v>824</v>
      </c>
      <c r="C59" t="s">
        <v>757</v>
      </c>
      <c r="D59" s="35" t="s">
        <v>729</v>
      </c>
      <c r="M59" s="38"/>
      <c r="N59" s="33"/>
    </row>
    <row r="60" spans="1:14" x14ac:dyDescent="0.25">
      <c r="A60" t="s">
        <v>823</v>
      </c>
      <c r="B60" s="35" t="s">
        <v>218</v>
      </c>
      <c r="C60" t="s">
        <v>780</v>
      </c>
      <c r="D60" s="35" t="s">
        <v>729</v>
      </c>
      <c r="M60" s="38"/>
      <c r="N60" s="33"/>
    </row>
    <row r="61" spans="1:14" x14ac:dyDescent="0.25">
      <c r="A61" t="s">
        <v>825</v>
      </c>
      <c r="B61" s="35" t="s">
        <v>202</v>
      </c>
      <c r="C61" t="s">
        <v>757</v>
      </c>
      <c r="D61" s="35" t="s">
        <v>729</v>
      </c>
      <c r="M61" s="38"/>
      <c r="N61" s="33"/>
    </row>
    <row r="62" spans="1:14" x14ac:dyDescent="0.25">
      <c r="A62" t="s">
        <v>826</v>
      </c>
      <c r="B62" t="s">
        <v>21</v>
      </c>
      <c r="M62" s="38"/>
      <c r="N62" s="33"/>
    </row>
    <row r="63" spans="1:14" x14ac:dyDescent="0.25">
      <c r="A63" t="s">
        <v>827</v>
      </c>
      <c r="B63" t="s">
        <v>828</v>
      </c>
      <c r="C63" t="s">
        <v>782</v>
      </c>
      <c r="D63" t="s">
        <v>812</v>
      </c>
      <c r="M63" s="38"/>
      <c r="N63" s="33"/>
    </row>
    <row r="64" spans="1:14" x14ac:dyDescent="0.25">
      <c r="A64" t="s">
        <v>829</v>
      </c>
      <c r="B64" t="s">
        <v>227</v>
      </c>
      <c r="C64" t="s">
        <v>830</v>
      </c>
      <c r="D64" t="s">
        <v>831</v>
      </c>
      <c r="M64" s="38"/>
      <c r="N64" s="33"/>
    </row>
    <row r="65" spans="1:14" x14ac:dyDescent="0.25">
      <c r="A65" t="s">
        <v>832</v>
      </c>
      <c r="B65" t="s">
        <v>193</v>
      </c>
      <c r="C65" t="s">
        <v>817</v>
      </c>
      <c r="D65" t="s">
        <v>744</v>
      </c>
      <c r="M65" s="38"/>
      <c r="N65" s="33"/>
    </row>
    <row r="66" spans="1:14" x14ac:dyDescent="0.25">
      <c r="A66" t="s">
        <v>833</v>
      </c>
      <c r="B66" t="s">
        <v>553</v>
      </c>
      <c r="C66" t="s">
        <v>798</v>
      </c>
      <c r="D66" t="s">
        <v>740</v>
      </c>
      <c r="M66" s="37"/>
      <c r="N66" s="33"/>
    </row>
    <row r="67" spans="1:14" x14ac:dyDescent="0.25">
      <c r="A67" t="s">
        <v>834</v>
      </c>
      <c r="B67" t="s">
        <v>581</v>
      </c>
      <c r="C67" t="s">
        <v>254</v>
      </c>
      <c r="D67" t="s">
        <v>311</v>
      </c>
      <c r="M67" s="37"/>
      <c r="N67" s="33"/>
    </row>
    <row r="68" spans="1:14" x14ac:dyDescent="0.25">
      <c r="A68" t="s">
        <v>835</v>
      </c>
      <c r="B68" t="s">
        <v>357</v>
      </c>
      <c r="C68" t="s">
        <v>734</v>
      </c>
      <c r="D68" t="s">
        <v>735</v>
      </c>
      <c r="M68" s="37"/>
      <c r="N68" s="33"/>
    </row>
    <row r="69" spans="1:14" x14ac:dyDescent="0.25">
      <c r="A69" t="s">
        <v>66</v>
      </c>
      <c r="B69" t="s">
        <v>66</v>
      </c>
      <c r="M69" s="37"/>
      <c r="N69" s="33"/>
    </row>
    <row r="70" spans="1:14" x14ac:dyDescent="0.25">
      <c r="A70" t="s">
        <v>836</v>
      </c>
      <c r="B70" t="s">
        <v>212</v>
      </c>
      <c r="M70" s="37"/>
      <c r="N70" s="33"/>
    </row>
    <row r="71" spans="1:14" x14ac:dyDescent="0.25">
      <c r="A71" t="s">
        <v>837</v>
      </c>
      <c r="B71" t="s">
        <v>579</v>
      </c>
      <c r="C71" t="s">
        <v>731</v>
      </c>
      <c r="D71" t="s">
        <v>732</v>
      </c>
      <c r="E71" t="s">
        <v>26</v>
      </c>
      <c r="M71" s="37"/>
      <c r="N71" s="33"/>
    </row>
    <row r="72" spans="1:14" x14ac:dyDescent="0.25">
      <c r="A72" t="s">
        <v>838</v>
      </c>
      <c r="B72" t="s">
        <v>522</v>
      </c>
      <c r="C72" t="s">
        <v>839</v>
      </c>
      <c r="D72" t="s">
        <v>728</v>
      </c>
      <c r="M72" s="37"/>
      <c r="N72" s="33"/>
    </row>
    <row r="73" spans="1:14" x14ac:dyDescent="0.25">
      <c r="A73" t="s">
        <v>840</v>
      </c>
      <c r="B73" t="s">
        <v>841</v>
      </c>
      <c r="C73" t="s">
        <v>254</v>
      </c>
      <c r="D73" t="s">
        <v>311</v>
      </c>
      <c r="M73" s="37"/>
      <c r="N73" s="33"/>
    </row>
    <row r="74" spans="1:14" x14ac:dyDescent="0.25">
      <c r="A74" t="s">
        <v>842</v>
      </c>
      <c r="B74" t="s">
        <v>843</v>
      </c>
      <c r="C74" t="s">
        <v>844</v>
      </c>
      <c r="D74" t="s">
        <v>785</v>
      </c>
      <c r="E74" t="s">
        <v>26</v>
      </c>
      <c r="M74" s="38"/>
      <c r="N74" s="36"/>
    </row>
    <row r="75" spans="1:14" x14ac:dyDescent="0.25">
      <c r="A75" t="s">
        <v>845</v>
      </c>
      <c r="B75" t="s">
        <v>846</v>
      </c>
      <c r="C75" t="s">
        <v>774</v>
      </c>
      <c r="D75" t="s">
        <v>775</v>
      </c>
      <c r="M75" s="38"/>
      <c r="N75" s="36"/>
    </row>
    <row r="76" spans="1:14" x14ac:dyDescent="0.25">
      <c r="A76" t="s">
        <v>847</v>
      </c>
      <c r="B76" t="s">
        <v>324</v>
      </c>
      <c r="C76" t="s">
        <v>798</v>
      </c>
      <c r="D76" t="s">
        <v>740</v>
      </c>
      <c r="M76" s="38"/>
      <c r="N76" s="36"/>
    </row>
    <row r="77" spans="1:14" x14ac:dyDescent="0.25">
      <c r="A77" t="s">
        <v>848</v>
      </c>
      <c r="B77" t="s">
        <v>492</v>
      </c>
      <c r="C77" t="s">
        <v>731</v>
      </c>
      <c r="D77" t="s">
        <v>732</v>
      </c>
      <c r="E77" t="s">
        <v>26</v>
      </c>
      <c r="M77" s="37"/>
      <c r="N77" s="36"/>
    </row>
    <row r="78" spans="1:14" x14ac:dyDescent="0.25">
      <c r="A78" t="s">
        <v>849</v>
      </c>
      <c r="B78" t="s">
        <v>342</v>
      </c>
      <c r="C78" t="s">
        <v>784</v>
      </c>
      <c r="D78" t="s">
        <v>784</v>
      </c>
      <c r="E78" t="s">
        <v>26</v>
      </c>
      <c r="M78" s="37"/>
      <c r="N78" s="36"/>
    </row>
    <row r="79" spans="1:14" x14ac:dyDescent="0.25">
      <c r="A79" t="s">
        <v>850</v>
      </c>
      <c r="B79" t="s">
        <v>507</v>
      </c>
      <c r="C79" t="s">
        <v>731</v>
      </c>
      <c r="D79" t="s">
        <v>744</v>
      </c>
      <c r="E79" t="s">
        <v>26</v>
      </c>
      <c r="M79" s="37"/>
      <c r="N79" s="36"/>
    </row>
    <row r="80" spans="1:14" x14ac:dyDescent="0.25">
      <c r="A80" t="s">
        <v>851</v>
      </c>
      <c r="B80" t="s">
        <v>852</v>
      </c>
      <c r="C80" t="s">
        <v>731</v>
      </c>
      <c r="D80" t="s">
        <v>732</v>
      </c>
      <c r="E80" t="s">
        <v>26</v>
      </c>
      <c r="M80" s="38"/>
      <c r="N80" s="36"/>
    </row>
    <row r="81" spans="1:14" x14ac:dyDescent="0.25">
      <c r="A81" t="s">
        <v>853</v>
      </c>
      <c r="B81" t="s">
        <v>638</v>
      </c>
      <c r="C81" t="s">
        <v>254</v>
      </c>
      <c r="D81" t="s">
        <v>755</v>
      </c>
      <c r="E81" t="s">
        <v>26</v>
      </c>
      <c r="M81" s="38"/>
      <c r="N81" s="36"/>
    </row>
    <row r="82" spans="1:14" x14ac:dyDescent="0.25">
      <c r="A82" t="s">
        <v>854</v>
      </c>
      <c r="B82" t="s">
        <v>489</v>
      </c>
      <c r="C82" t="s">
        <v>742</v>
      </c>
      <c r="D82" t="s">
        <v>740</v>
      </c>
      <c r="M82" s="38"/>
      <c r="N82" s="36"/>
    </row>
    <row r="83" spans="1:14" x14ac:dyDescent="0.25">
      <c r="A83" t="s">
        <v>855</v>
      </c>
      <c r="B83" t="s">
        <v>575</v>
      </c>
      <c r="C83" t="s">
        <v>774</v>
      </c>
      <c r="D83" t="s">
        <v>856</v>
      </c>
      <c r="M83" s="38"/>
      <c r="N83" s="36"/>
    </row>
    <row r="84" spans="1:14" x14ac:dyDescent="0.25">
      <c r="A84" t="s">
        <v>857</v>
      </c>
      <c r="B84" t="s">
        <v>460</v>
      </c>
      <c r="C84" t="s">
        <v>731</v>
      </c>
      <c r="D84" t="s">
        <v>785</v>
      </c>
      <c r="E84" t="s">
        <v>26</v>
      </c>
      <c r="M84" s="38"/>
      <c r="N84" s="36"/>
    </row>
    <row r="85" spans="1:14" x14ac:dyDescent="0.25">
      <c r="A85" t="s">
        <v>858</v>
      </c>
      <c r="B85" t="s">
        <v>373</v>
      </c>
      <c r="C85" t="s">
        <v>731</v>
      </c>
      <c r="D85" t="s">
        <v>732</v>
      </c>
      <c r="E85" t="s">
        <v>26</v>
      </c>
      <c r="M85" s="37"/>
      <c r="N85" s="36"/>
    </row>
    <row r="86" spans="1:14" x14ac:dyDescent="0.25">
      <c r="A86" t="s">
        <v>859</v>
      </c>
      <c r="B86" t="s">
        <v>340</v>
      </c>
      <c r="C86" t="s">
        <v>731</v>
      </c>
      <c r="D86" t="s">
        <v>732</v>
      </c>
      <c r="E86" t="s">
        <v>26</v>
      </c>
      <c r="M86" s="37"/>
      <c r="N86" s="36"/>
    </row>
    <row r="87" spans="1:14" x14ac:dyDescent="0.25">
      <c r="A87" t="s">
        <v>860</v>
      </c>
      <c r="B87" t="s">
        <v>526</v>
      </c>
      <c r="C87" t="s">
        <v>782</v>
      </c>
      <c r="D87" t="s">
        <v>780</v>
      </c>
      <c r="M87" s="37"/>
      <c r="N87" s="36"/>
    </row>
    <row r="88" spans="1:14" x14ac:dyDescent="0.25">
      <c r="A88" t="s">
        <v>861</v>
      </c>
      <c r="B88" t="s">
        <v>415</v>
      </c>
      <c r="C88" t="s">
        <v>782</v>
      </c>
      <c r="D88" t="s">
        <v>812</v>
      </c>
      <c r="M88" s="37"/>
      <c r="N88" s="36"/>
    </row>
    <row r="89" spans="1:14" x14ac:dyDescent="0.25">
      <c r="A89" t="s">
        <v>862</v>
      </c>
      <c r="B89" t="s">
        <v>523</v>
      </c>
      <c r="C89" t="s">
        <v>863</v>
      </c>
      <c r="D89" t="s">
        <v>775</v>
      </c>
      <c r="M89" s="37"/>
      <c r="N89" s="36"/>
    </row>
    <row r="90" spans="1:14" x14ac:dyDescent="0.25">
      <c r="A90" t="s">
        <v>864</v>
      </c>
      <c r="B90" t="s">
        <v>537</v>
      </c>
      <c r="C90" t="s">
        <v>728</v>
      </c>
      <c r="D90" t="s">
        <v>762</v>
      </c>
      <c r="E90" t="s">
        <v>26</v>
      </c>
      <c r="M90" s="37"/>
      <c r="N90" s="36"/>
    </row>
    <row r="91" spans="1:14" x14ac:dyDescent="0.25">
      <c r="A91" t="s">
        <v>865</v>
      </c>
      <c r="B91" t="s">
        <v>557</v>
      </c>
      <c r="C91" t="s">
        <v>311</v>
      </c>
      <c r="D91" t="s">
        <v>755</v>
      </c>
      <c r="E91" t="s">
        <v>26</v>
      </c>
      <c r="M91" s="37"/>
      <c r="N91" s="36"/>
    </row>
    <row r="92" spans="1:14" x14ac:dyDescent="0.25">
      <c r="A92" t="s">
        <v>866</v>
      </c>
      <c r="B92" t="s">
        <v>344</v>
      </c>
      <c r="C92" t="s">
        <v>807</v>
      </c>
      <c r="D92" t="s">
        <v>735</v>
      </c>
      <c r="M92" s="37"/>
      <c r="N92" s="36"/>
    </row>
    <row r="93" spans="1:14" x14ac:dyDescent="0.25">
      <c r="A93" t="s">
        <v>867</v>
      </c>
      <c r="B93" t="s">
        <v>535</v>
      </c>
      <c r="C93" t="s">
        <v>774</v>
      </c>
      <c r="D93" t="s">
        <v>856</v>
      </c>
      <c r="M93" s="37"/>
      <c r="N93" s="36"/>
    </row>
    <row r="94" spans="1:14" x14ac:dyDescent="0.25">
      <c r="A94" t="s">
        <v>868</v>
      </c>
      <c r="B94" t="s">
        <v>606</v>
      </c>
      <c r="C94" t="s">
        <v>817</v>
      </c>
      <c r="D94" t="s">
        <v>869</v>
      </c>
      <c r="M94" s="37"/>
      <c r="N94" s="36"/>
    </row>
    <row r="95" spans="1:14" x14ac:dyDescent="0.25">
      <c r="A95" t="s">
        <v>870</v>
      </c>
      <c r="B95" t="s">
        <v>649</v>
      </c>
      <c r="C95" t="s">
        <v>765</v>
      </c>
      <c r="D95" t="s">
        <v>735</v>
      </c>
      <c r="M95" s="37"/>
      <c r="N95" s="36"/>
    </row>
    <row r="96" spans="1:14" x14ac:dyDescent="0.25">
      <c r="A96" t="s">
        <v>871</v>
      </c>
      <c r="B96" t="s">
        <v>423</v>
      </c>
      <c r="C96" t="s">
        <v>254</v>
      </c>
      <c r="D96" t="s">
        <v>755</v>
      </c>
      <c r="E96" t="s">
        <v>26</v>
      </c>
      <c r="M96" s="37"/>
      <c r="N96" s="36"/>
    </row>
    <row r="97" spans="1:14" x14ac:dyDescent="0.25">
      <c r="A97" t="s">
        <v>872</v>
      </c>
      <c r="B97" t="s">
        <v>476</v>
      </c>
      <c r="C97" t="s">
        <v>731</v>
      </c>
      <c r="D97" t="s">
        <v>732</v>
      </c>
      <c r="E97" t="s">
        <v>26</v>
      </c>
      <c r="M97" s="37"/>
      <c r="N97" s="36"/>
    </row>
    <row r="98" spans="1:14" x14ac:dyDescent="0.25">
      <c r="A98" t="s">
        <v>873</v>
      </c>
      <c r="B98" t="s">
        <v>666</v>
      </c>
      <c r="C98" t="s">
        <v>784</v>
      </c>
      <c r="D98" t="s">
        <v>784</v>
      </c>
      <c r="E98" t="s">
        <v>26</v>
      </c>
      <c r="M98" s="37"/>
      <c r="N98" s="36"/>
    </row>
    <row r="99" spans="1:14" x14ac:dyDescent="0.25">
      <c r="A99" t="s">
        <v>874</v>
      </c>
      <c r="B99" t="s">
        <v>334</v>
      </c>
      <c r="C99" t="s">
        <v>798</v>
      </c>
      <c r="D99" t="s">
        <v>740</v>
      </c>
      <c r="M99" s="37"/>
      <c r="N99" s="36"/>
    </row>
    <row r="100" spans="1:14" x14ac:dyDescent="0.25">
      <c r="A100" t="s">
        <v>875</v>
      </c>
      <c r="B100" t="s">
        <v>397</v>
      </c>
      <c r="C100" t="s">
        <v>311</v>
      </c>
      <c r="D100" t="s">
        <v>755</v>
      </c>
      <c r="E100" t="s">
        <v>26</v>
      </c>
      <c r="M100" s="37"/>
      <c r="N100" s="36"/>
    </row>
    <row r="101" spans="1:14" x14ac:dyDescent="0.25">
      <c r="A101" t="s">
        <v>876</v>
      </c>
      <c r="B101" t="s">
        <v>669</v>
      </c>
      <c r="C101" t="s">
        <v>774</v>
      </c>
      <c r="D101" t="s">
        <v>775</v>
      </c>
      <c r="M101" s="37"/>
      <c r="N101" s="36"/>
    </row>
    <row r="102" spans="1:14" x14ac:dyDescent="0.25">
      <c r="A102" t="s">
        <v>245</v>
      </c>
      <c r="B102" t="s">
        <v>245</v>
      </c>
      <c r="D102" t="s">
        <v>245</v>
      </c>
      <c r="M102" s="37"/>
      <c r="N102" s="36"/>
    </row>
    <row r="103" spans="1:14" x14ac:dyDescent="0.25">
      <c r="A103" t="s">
        <v>877</v>
      </c>
      <c r="B103" t="s">
        <v>674</v>
      </c>
      <c r="C103" t="s">
        <v>254</v>
      </c>
      <c r="D103" t="s">
        <v>311</v>
      </c>
      <c r="M103" s="37"/>
      <c r="N103" s="36"/>
    </row>
    <row r="104" spans="1:14" x14ac:dyDescent="0.25">
      <c r="A104" t="s">
        <v>256</v>
      </c>
      <c r="B104" t="s">
        <v>256</v>
      </c>
      <c r="D104" t="s">
        <v>256</v>
      </c>
      <c r="M104" s="37"/>
      <c r="N104" s="36"/>
    </row>
    <row r="105" spans="1:14" x14ac:dyDescent="0.25">
      <c r="A105" t="s">
        <v>878</v>
      </c>
      <c r="B105" t="s">
        <v>403</v>
      </c>
      <c r="C105" t="s">
        <v>751</v>
      </c>
      <c r="D105" t="s">
        <v>752</v>
      </c>
      <c r="E105" t="s">
        <v>26</v>
      </c>
      <c r="M105" s="37"/>
      <c r="N105" s="36"/>
    </row>
    <row r="106" spans="1:14" x14ac:dyDescent="0.25">
      <c r="A106" t="s">
        <v>879</v>
      </c>
      <c r="B106" t="s">
        <v>880</v>
      </c>
      <c r="C106" t="s">
        <v>765</v>
      </c>
      <c r="D106" t="s">
        <v>735</v>
      </c>
      <c r="M106" s="37"/>
      <c r="N106" s="36"/>
    </row>
    <row r="107" spans="1:14" x14ac:dyDescent="0.25">
      <c r="A107" s="43" t="s">
        <v>1350</v>
      </c>
      <c r="B107" s="35" t="s">
        <v>658</v>
      </c>
      <c r="C107" t="s">
        <v>731</v>
      </c>
      <c r="D107" s="35" t="s">
        <v>245</v>
      </c>
      <c r="L107" s="58"/>
      <c r="M107" s="37"/>
      <c r="N107" s="36"/>
    </row>
    <row r="108" spans="1:14" x14ac:dyDescent="0.25">
      <c r="A108" t="s">
        <v>1153</v>
      </c>
      <c r="B108" s="35" t="s">
        <v>1154</v>
      </c>
      <c r="C108" t="s">
        <v>1155</v>
      </c>
      <c r="D108" s="35" t="s">
        <v>63</v>
      </c>
      <c r="E108" t="s">
        <v>16</v>
      </c>
      <c r="M108" s="37"/>
      <c r="N108" s="36"/>
    </row>
    <row r="109" spans="1:14" x14ac:dyDescent="0.25">
      <c r="A109" t="s">
        <v>68</v>
      </c>
      <c r="B109" t="s">
        <v>68</v>
      </c>
      <c r="C109" t="s">
        <v>884</v>
      </c>
      <c r="M109" s="37"/>
      <c r="N109" s="36"/>
    </row>
    <row r="110" spans="1:14" x14ac:dyDescent="0.25">
      <c r="A110" t="s">
        <v>885</v>
      </c>
      <c r="B110" t="s">
        <v>886</v>
      </c>
      <c r="C110" t="s">
        <v>254</v>
      </c>
      <c r="D110" t="s">
        <v>755</v>
      </c>
      <c r="E110" t="s">
        <v>26</v>
      </c>
      <c r="M110" s="37"/>
      <c r="N110" s="36"/>
    </row>
    <row r="111" spans="1:14" x14ac:dyDescent="0.25">
      <c r="A111" t="s">
        <v>887</v>
      </c>
      <c r="B111" t="s">
        <v>888</v>
      </c>
      <c r="C111" t="s">
        <v>731</v>
      </c>
      <c r="D111" t="s">
        <v>732</v>
      </c>
      <c r="E111" t="s">
        <v>26</v>
      </c>
      <c r="M111" s="37"/>
      <c r="N111" s="36"/>
    </row>
    <row r="112" spans="1:14" x14ac:dyDescent="0.25">
      <c r="A112" t="s">
        <v>889</v>
      </c>
      <c r="B112" t="s">
        <v>145</v>
      </c>
      <c r="C112" t="s">
        <v>890</v>
      </c>
      <c r="D112" t="s">
        <v>729</v>
      </c>
      <c r="M112" s="37"/>
      <c r="N112" s="36"/>
    </row>
    <row r="113" spans="1:14" x14ac:dyDescent="0.25">
      <c r="A113" t="s">
        <v>891</v>
      </c>
      <c r="B113" t="s">
        <v>365</v>
      </c>
      <c r="C113" t="s">
        <v>782</v>
      </c>
      <c r="D113" t="s">
        <v>780</v>
      </c>
      <c r="M113" s="37"/>
      <c r="N113" s="36"/>
    </row>
    <row r="114" spans="1:14" x14ac:dyDescent="0.25">
      <c r="A114" t="s">
        <v>892</v>
      </c>
      <c r="B114" t="s">
        <v>497</v>
      </c>
      <c r="C114" t="s">
        <v>734</v>
      </c>
      <c r="D114" t="s">
        <v>735</v>
      </c>
      <c r="L114" s="53"/>
      <c r="M114" s="37"/>
      <c r="N114" s="36"/>
    </row>
    <row r="115" spans="1:14" x14ac:dyDescent="0.25">
      <c r="A115" t="s">
        <v>893</v>
      </c>
      <c r="B115" t="s">
        <v>571</v>
      </c>
      <c r="C115" t="s">
        <v>723</v>
      </c>
      <c r="D115" t="s">
        <v>729</v>
      </c>
      <c r="M115" s="37"/>
      <c r="N115" s="36"/>
    </row>
    <row r="116" spans="1:14" x14ac:dyDescent="0.25">
      <c r="A116" t="s">
        <v>1053</v>
      </c>
      <c r="B116" s="35" t="s">
        <v>673</v>
      </c>
      <c r="D116" s="35" t="s">
        <v>72</v>
      </c>
      <c r="M116" s="37"/>
    </row>
    <row r="117" spans="1:14" x14ac:dyDescent="0.25">
      <c r="A117" s="63" t="s">
        <v>1101</v>
      </c>
      <c r="B117" s="35" t="s">
        <v>1102</v>
      </c>
      <c r="C117" t="s">
        <v>254</v>
      </c>
      <c r="D117" s="35" t="s">
        <v>755</v>
      </c>
      <c r="E117" t="s">
        <v>16</v>
      </c>
    </row>
    <row r="118" spans="1:14" x14ac:dyDescent="0.25">
      <c r="A118" s="63" t="s">
        <v>1157</v>
      </c>
      <c r="B118" s="35" t="s">
        <v>1158</v>
      </c>
      <c r="C118" t="s">
        <v>254</v>
      </c>
      <c r="D118" s="35" t="s">
        <v>755</v>
      </c>
      <c r="E118" t="s">
        <v>16</v>
      </c>
    </row>
    <row r="119" spans="1:14" x14ac:dyDescent="0.25">
      <c r="A119" s="43" t="s">
        <v>1289</v>
      </c>
      <c r="B119" s="35" t="s">
        <v>1290</v>
      </c>
      <c r="D119" s="35" t="s">
        <v>63</v>
      </c>
    </row>
    <row r="120" spans="1:14" x14ac:dyDescent="0.25">
      <c r="A120" s="66" t="s">
        <v>1094</v>
      </c>
      <c r="B120" s="35" t="s">
        <v>1095</v>
      </c>
      <c r="C120" t="s">
        <v>254</v>
      </c>
      <c r="D120" s="35" t="s">
        <v>755</v>
      </c>
      <c r="E120" t="s">
        <v>757</v>
      </c>
    </row>
    <row r="121" spans="1:14" x14ac:dyDescent="0.25">
      <c r="A121" s="43" t="s">
        <v>1264</v>
      </c>
      <c r="B121" t="s">
        <v>369</v>
      </c>
      <c r="C121" t="s">
        <v>798</v>
      </c>
      <c r="D121" t="s">
        <v>740</v>
      </c>
    </row>
    <row r="122" spans="1:14" x14ac:dyDescent="0.25">
      <c r="A122" s="43" t="s">
        <v>998</v>
      </c>
      <c r="B122" s="35" t="s">
        <v>999</v>
      </c>
      <c r="C122" t="s">
        <v>780</v>
      </c>
      <c r="D122" s="35" t="s">
        <v>729</v>
      </c>
    </row>
    <row r="123" spans="1:14" x14ac:dyDescent="0.25">
      <c r="A123" s="43" t="s">
        <v>1217</v>
      </c>
      <c r="B123" t="s">
        <v>488</v>
      </c>
      <c r="C123" t="s">
        <v>254</v>
      </c>
      <c r="D123" t="s">
        <v>311</v>
      </c>
    </row>
    <row r="124" spans="1:14" x14ac:dyDescent="0.25">
      <c r="A124" s="43" t="s">
        <v>1268</v>
      </c>
      <c r="B124" t="s">
        <v>1269</v>
      </c>
      <c r="C124" t="s">
        <v>731</v>
      </c>
      <c r="D124" t="s">
        <v>732</v>
      </c>
      <c r="E124" t="s">
        <v>26</v>
      </c>
    </row>
    <row r="125" spans="1:14" x14ac:dyDescent="0.25">
      <c r="A125" s="43" t="s">
        <v>931</v>
      </c>
      <c r="B125" t="s">
        <v>457</v>
      </c>
      <c r="C125" t="s">
        <v>731</v>
      </c>
      <c r="D125" t="s">
        <v>732</v>
      </c>
      <c r="E125" t="s">
        <v>26</v>
      </c>
    </row>
    <row r="126" spans="1:14" ht="15" customHeight="1" x14ac:dyDescent="0.25">
      <c r="A126" t="s">
        <v>1333</v>
      </c>
      <c r="B126" t="s">
        <v>651</v>
      </c>
      <c r="C126" t="s">
        <v>810</v>
      </c>
      <c r="D126" t="s">
        <v>735</v>
      </c>
    </row>
    <row r="127" spans="1:14" ht="15" customHeight="1" x14ac:dyDescent="0.25">
      <c r="A127" t="s">
        <v>1146</v>
      </c>
      <c r="B127" s="35" t="s">
        <v>214</v>
      </c>
      <c r="C127" t="s">
        <v>752</v>
      </c>
      <c r="D127" s="35" t="s">
        <v>729</v>
      </c>
    </row>
    <row r="128" spans="1:14" ht="15" customHeight="1" x14ac:dyDescent="0.25">
      <c r="A128" t="s">
        <v>1253</v>
      </c>
      <c r="B128" t="s">
        <v>534</v>
      </c>
      <c r="C128" t="s">
        <v>765</v>
      </c>
      <c r="D128" t="s">
        <v>735</v>
      </c>
    </row>
    <row r="129" spans="1:5" ht="15" customHeight="1" x14ac:dyDescent="0.25">
      <c r="A129" t="s">
        <v>1312</v>
      </c>
      <c r="B129" t="s">
        <v>1313</v>
      </c>
      <c r="C129" t="s">
        <v>254</v>
      </c>
      <c r="D129" t="s">
        <v>311</v>
      </c>
    </row>
    <row r="130" spans="1:5" x14ac:dyDescent="0.25">
      <c r="A130" t="s">
        <v>1009</v>
      </c>
      <c r="B130" s="35" t="s">
        <v>222</v>
      </c>
      <c r="C130" t="s">
        <v>1010</v>
      </c>
      <c r="D130" s="35" t="s">
        <v>729</v>
      </c>
    </row>
    <row r="131" spans="1:5" ht="15" customHeight="1" x14ac:dyDescent="0.25">
      <c r="A131" t="s">
        <v>1054</v>
      </c>
      <c r="B131" t="s">
        <v>1055</v>
      </c>
      <c r="C131" t="s">
        <v>311</v>
      </c>
      <c r="D131" t="s">
        <v>785</v>
      </c>
      <c r="E131" t="s">
        <v>16</v>
      </c>
    </row>
    <row r="132" spans="1:5" ht="15" customHeight="1" x14ac:dyDescent="0.25">
      <c r="A132" t="s">
        <v>977</v>
      </c>
      <c r="B132" t="s">
        <v>538</v>
      </c>
      <c r="C132" t="s">
        <v>765</v>
      </c>
      <c r="D132" t="s">
        <v>735</v>
      </c>
    </row>
    <row r="133" spans="1:5" ht="15" customHeight="1" x14ac:dyDescent="0.25">
      <c r="A133" t="s">
        <v>1293</v>
      </c>
      <c r="B133" t="s">
        <v>659</v>
      </c>
      <c r="C133" t="s">
        <v>311</v>
      </c>
      <c r="D133" t="s">
        <v>755</v>
      </c>
      <c r="E133" t="s">
        <v>26</v>
      </c>
    </row>
    <row r="134" spans="1:5" ht="15" customHeight="1" x14ac:dyDescent="0.25">
      <c r="A134" t="s">
        <v>972</v>
      </c>
      <c r="B134" t="s">
        <v>688</v>
      </c>
      <c r="C134" t="s">
        <v>973</v>
      </c>
      <c r="D134" t="s">
        <v>812</v>
      </c>
    </row>
    <row r="135" spans="1:5" ht="15" customHeight="1" x14ac:dyDescent="0.25">
      <c r="A135" t="s">
        <v>1011</v>
      </c>
      <c r="B135" t="s">
        <v>481</v>
      </c>
      <c r="C135" t="s">
        <v>746</v>
      </c>
      <c r="D135" t="s">
        <v>740</v>
      </c>
    </row>
    <row r="136" spans="1:5" x14ac:dyDescent="0.25">
      <c r="A136" t="s">
        <v>1063</v>
      </c>
      <c r="B136" t="s">
        <v>1064</v>
      </c>
      <c r="C136" t="s">
        <v>311</v>
      </c>
      <c r="D136" t="s">
        <v>755</v>
      </c>
      <c r="E136" t="s">
        <v>26</v>
      </c>
    </row>
    <row r="137" spans="1:5" ht="15" customHeight="1" x14ac:dyDescent="0.25">
      <c r="A137" t="s">
        <v>1047</v>
      </c>
      <c r="B137" t="s">
        <v>308</v>
      </c>
      <c r="C137" t="s">
        <v>1048</v>
      </c>
      <c r="D137" t="s">
        <v>755</v>
      </c>
      <c r="E137" t="s">
        <v>26</v>
      </c>
    </row>
    <row r="138" spans="1:5" ht="15" customHeight="1" x14ac:dyDescent="0.25">
      <c r="A138" t="s">
        <v>1181</v>
      </c>
      <c r="B138" t="s">
        <v>1182</v>
      </c>
      <c r="C138" t="s">
        <v>765</v>
      </c>
      <c r="D138" t="s">
        <v>735</v>
      </c>
    </row>
    <row r="139" spans="1:5" ht="15" customHeight="1" x14ac:dyDescent="0.25">
      <c r="A139" t="s">
        <v>1136</v>
      </c>
      <c r="B139" t="s">
        <v>453</v>
      </c>
      <c r="C139" t="s">
        <v>731</v>
      </c>
      <c r="D139" t="s">
        <v>732</v>
      </c>
      <c r="E139" t="s">
        <v>26</v>
      </c>
    </row>
    <row r="140" spans="1:5" ht="15" customHeight="1" x14ac:dyDescent="0.25">
      <c r="A140" t="s">
        <v>984</v>
      </c>
      <c r="B140" t="s">
        <v>513</v>
      </c>
      <c r="C140" t="s">
        <v>731</v>
      </c>
      <c r="D140" t="s">
        <v>744</v>
      </c>
      <c r="E140" t="s">
        <v>26</v>
      </c>
    </row>
    <row r="141" spans="1:5" x14ac:dyDescent="0.25">
      <c r="A141" t="s">
        <v>974</v>
      </c>
      <c r="B141" t="s">
        <v>545</v>
      </c>
      <c r="C141" t="s">
        <v>311</v>
      </c>
      <c r="D141" t="s">
        <v>755</v>
      </c>
      <c r="E141" t="s">
        <v>26</v>
      </c>
    </row>
    <row r="142" spans="1:5" ht="15" customHeight="1" x14ac:dyDescent="0.25">
      <c r="A142" t="s">
        <v>1072</v>
      </c>
      <c r="B142" t="s">
        <v>361</v>
      </c>
      <c r="C142" t="s">
        <v>798</v>
      </c>
      <c r="D142" t="s">
        <v>740</v>
      </c>
    </row>
    <row r="143" spans="1:5" ht="15" customHeight="1" x14ac:dyDescent="0.25">
      <c r="A143" t="s">
        <v>971</v>
      </c>
      <c r="B143" t="s">
        <v>316</v>
      </c>
      <c r="C143" t="s">
        <v>731</v>
      </c>
      <c r="D143" t="s">
        <v>732</v>
      </c>
      <c r="E143" t="s">
        <v>26</v>
      </c>
    </row>
    <row r="144" spans="1:5" ht="15" customHeight="1" x14ac:dyDescent="0.25">
      <c r="A144" t="s">
        <v>996</v>
      </c>
      <c r="B144" t="s">
        <v>524</v>
      </c>
      <c r="C144" t="s">
        <v>997</v>
      </c>
      <c r="D144" t="s">
        <v>775</v>
      </c>
    </row>
    <row r="145" spans="1:5" ht="15" customHeight="1" x14ac:dyDescent="0.25">
      <c r="A145" t="s">
        <v>1080</v>
      </c>
      <c r="B145" t="s">
        <v>625</v>
      </c>
      <c r="C145" t="s">
        <v>731</v>
      </c>
      <c r="D145" t="s">
        <v>732</v>
      </c>
      <c r="E145" t="s">
        <v>26</v>
      </c>
    </row>
    <row r="146" spans="1:5" ht="15" customHeight="1" x14ac:dyDescent="0.25">
      <c r="A146" s="43" t="s">
        <v>1346</v>
      </c>
      <c r="B146" t="s">
        <v>102</v>
      </c>
      <c r="C146" t="s">
        <v>807</v>
      </c>
      <c r="D146" t="s">
        <v>735</v>
      </c>
    </row>
    <row r="147" spans="1:5" x14ac:dyDescent="0.25">
      <c r="A147" t="s">
        <v>1280</v>
      </c>
      <c r="B147" t="s">
        <v>370</v>
      </c>
      <c r="C147" t="s">
        <v>906</v>
      </c>
      <c r="D147" t="s">
        <v>856</v>
      </c>
    </row>
    <row r="148" spans="1:5" ht="15" customHeight="1" x14ac:dyDescent="0.25">
      <c r="A148" t="s">
        <v>1026</v>
      </c>
      <c r="B148" t="s">
        <v>490</v>
      </c>
      <c r="C148" t="s">
        <v>731</v>
      </c>
      <c r="D148" t="s">
        <v>744</v>
      </c>
      <c r="E148" t="s">
        <v>26</v>
      </c>
    </row>
    <row r="149" spans="1:5" ht="15" customHeight="1" x14ac:dyDescent="0.25">
      <c r="A149" t="s">
        <v>1015</v>
      </c>
      <c r="B149" t="s">
        <v>612</v>
      </c>
      <c r="C149" t="s">
        <v>782</v>
      </c>
      <c r="D149" t="s">
        <v>780</v>
      </c>
    </row>
    <row r="150" spans="1:5" ht="15" customHeight="1" x14ac:dyDescent="0.25">
      <c r="A150" t="s">
        <v>1061</v>
      </c>
      <c r="B150" t="s">
        <v>1062</v>
      </c>
      <c r="C150" t="s">
        <v>311</v>
      </c>
      <c r="D150" t="s">
        <v>755</v>
      </c>
      <c r="E150" t="s">
        <v>26</v>
      </c>
    </row>
    <row r="151" spans="1:5" ht="15" customHeight="1" x14ac:dyDescent="0.25">
      <c r="A151" t="s">
        <v>915</v>
      </c>
      <c r="B151" s="35" t="s">
        <v>628</v>
      </c>
      <c r="C151" t="s">
        <v>732</v>
      </c>
      <c r="D151" s="35"/>
    </row>
    <row r="152" spans="1:5" ht="15" customHeight="1" x14ac:dyDescent="0.25">
      <c r="A152" s="43" t="s">
        <v>1340</v>
      </c>
      <c r="B152" t="s">
        <v>1341</v>
      </c>
      <c r="C152" t="s">
        <v>731</v>
      </c>
      <c r="D152" t="s">
        <v>732</v>
      </c>
      <c r="E152" t="s">
        <v>26</v>
      </c>
    </row>
    <row r="153" spans="1:5" ht="15" customHeight="1" x14ac:dyDescent="0.25">
      <c r="A153" t="s">
        <v>1140</v>
      </c>
      <c r="B153" t="s">
        <v>312</v>
      </c>
      <c r="C153" t="s">
        <v>311</v>
      </c>
      <c r="D153" t="s">
        <v>755</v>
      </c>
      <c r="E153" t="s">
        <v>26</v>
      </c>
    </row>
    <row r="154" spans="1:5" ht="15" customHeight="1" x14ac:dyDescent="0.25">
      <c r="A154" t="s">
        <v>1222</v>
      </c>
      <c r="B154" s="35" t="s">
        <v>198</v>
      </c>
      <c r="C154" t="s">
        <v>757</v>
      </c>
      <c r="D154" s="35" t="s">
        <v>729</v>
      </c>
    </row>
    <row r="155" spans="1:5" x14ac:dyDescent="0.25">
      <c r="A155" t="s">
        <v>1241</v>
      </c>
      <c r="B155" s="35" t="s">
        <v>205</v>
      </c>
      <c r="C155" t="s">
        <v>757</v>
      </c>
      <c r="D155" s="35" t="s">
        <v>729</v>
      </c>
    </row>
    <row r="156" spans="1:5" ht="15" customHeight="1" x14ac:dyDescent="0.25">
      <c r="A156" t="s">
        <v>1226</v>
      </c>
      <c r="B156" t="s">
        <v>531</v>
      </c>
      <c r="C156" t="s">
        <v>751</v>
      </c>
      <c r="D156" t="s">
        <v>752</v>
      </c>
      <c r="E156" t="s">
        <v>26</v>
      </c>
    </row>
    <row r="157" spans="1:5" ht="15" customHeight="1" x14ac:dyDescent="0.25">
      <c r="A157" t="s">
        <v>1278</v>
      </c>
      <c r="B157" t="s">
        <v>630</v>
      </c>
      <c r="C157" t="s">
        <v>731</v>
      </c>
      <c r="D157" t="s">
        <v>732</v>
      </c>
      <c r="E157" t="s">
        <v>26</v>
      </c>
    </row>
    <row r="158" spans="1:5" ht="15" customHeight="1" x14ac:dyDescent="0.25">
      <c r="A158" t="s">
        <v>953</v>
      </c>
      <c r="B158" t="s">
        <v>515</v>
      </c>
      <c r="C158" t="s">
        <v>765</v>
      </c>
      <c r="D158" t="s">
        <v>735</v>
      </c>
    </row>
    <row r="159" spans="1:5" ht="15" customHeight="1" x14ac:dyDescent="0.25">
      <c r="A159" t="s">
        <v>912</v>
      </c>
      <c r="B159" t="s">
        <v>337</v>
      </c>
      <c r="C159" t="s">
        <v>731</v>
      </c>
      <c r="D159" t="s">
        <v>732</v>
      </c>
      <c r="E159" t="s">
        <v>26</v>
      </c>
    </row>
    <row r="160" spans="1:5" ht="15" customHeight="1" x14ac:dyDescent="0.25">
      <c r="A160" t="s">
        <v>1099</v>
      </c>
      <c r="B160" t="s">
        <v>1100</v>
      </c>
      <c r="C160" t="s">
        <v>830</v>
      </c>
      <c r="D160" t="s">
        <v>831</v>
      </c>
    </row>
    <row r="161" spans="1:5" ht="15" customHeight="1" x14ac:dyDescent="0.25">
      <c r="A161" t="s">
        <v>1228</v>
      </c>
      <c r="B161" t="s">
        <v>1229</v>
      </c>
      <c r="C161" t="s">
        <v>765</v>
      </c>
      <c r="D161" t="s">
        <v>735</v>
      </c>
    </row>
    <row r="162" spans="1:5" ht="15" customHeight="1" x14ac:dyDescent="0.25">
      <c r="A162" t="s">
        <v>1243</v>
      </c>
      <c r="B162" t="s">
        <v>485</v>
      </c>
      <c r="C162" t="s">
        <v>731</v>
      </c>
      <c r="D162" t="s">
        <v>732</v>
      </c>
      <c r="E162" t="s">
        <v>26</v>
      </c>
    </row>
    <row r="163" spans="1:5" ht="15" customHeight="1" x14ac:dyDescent="0.25">
      <c r="A163" t="s">
        <v>1091</v>
      </c>
      <c r="B163" s="35" t="s">
        <v>231</v>
      </c>
      <c r="C163" t="s">
        <v>1092</v>
      </c>
      <c r="D163" s="35" t="s">
        <v>729</v>
      </c>
    </row>
    <row r="164" spans="1:5" ht="15" customHeight="1" x14ac:dyDescent="0.25">
      <c r="A164" t="s">
        <v>1041</v>
      </c>
      <c r="B164" t="s">
        <v>1042</v>
      </c>
      <c r="C164" t="s">
        <v>254</v>
      </c>
      <c r="D164" t="s">
        <v>311</v>
      </c>
    </row>
    <row r="165" spans="1:5" ht="15" customHeight="1" x14ac:dyDescent="0.25">
      <c r="A165" t="s">
        <v>1238</v>
      </c>
      <c r="B165" t="s">
        <v>511</v>
      </c>
      <c r="C165" t="s">
        <v>807</v>
      </c>
      <c r="D165" t="s">
        <v>735</v>
      </c>
    </row>
    <row r="166" spans="1:5" x14ac:dyDescent="0.25">
      <c r="A166" t="s">
        <v>964</v>
      </c>
      <c r="B166" t="s">
        <v>390</v>
      </c>
      <c r="C166" t="s">
        <v>731</v>
      </c>
      <c r="D166" t="s">
        <v>732</v>
      </c>
      <c r="E166" t="s">
        <v>26</v>
      </c>
    </row>
    <row r="167" spans="1:5" ht="15" customHeight="1" x14ac:dyDescent="0.25">
      <c r="A167" t="s">
        <v>1288</v>
      </c>
      <c r="B167" t="s">
        <v>189</v>
      </c>
      <c r="C167" t="s">
        <v>856</v>
      </c>
      <c r="D167" t="s">
        <v>744</v>
      </c>
    </row>
    <row r="168" spans="1:5" ht="15" customHeight="1" x14ac:dyDescent="0.25">
      <c r="A168" t="s">
        <v>1248</v>
      </c>
      <c r="B168" t="s">
        <v>550</v>
      </c>
      <c r="C168" t="s">
        <v>751</v>
      </c>
      <c r="D168" t="s">
        <v>752</v>
      </c>
      <c r="E168" t="s">
        <v>26</v>
      </c>
    </row>
    <row r="169" spans="1:5" ht="15" customHeight="1" x14ac:dyDescent="0.25">
      <c r="A169" t="s">
        <v>1037</v>
      </c>
      <c r="B169" t="s">
        <v>1038</v>
      </c>
      <c r="C169" t="s">
        <v>914</v>
      </c>
      <c r="D169" t="s">
        <v>800</v>
      </c>
    </row>
    <row r="170" spans="1:5" x14ac:dyDescent="0.25">
      <c r="A170" t="s">
        <v>1019</v>
      </c>
      <c r="B170" t="s">
        <v>1020</v>
      </c>
      <c r="C170" t="s">
        <v>973</v>
      </c>
      <c r="D170" t="s">
        <v>812</v>
      </c>
    </row>
    <row r="171" spans="1:5" x14ac:dyDescent="0.25">
      <c r="A171" t="s">
        <v>1324</v>
      </c>
      <c r="B171" t="s">
        <v>561</v>
      </c>
      <c r="C171" t="s">
        <v>731</v>
      </c>
      <c r="D171" t="s">
        <v>732</v>
      </c>
      <c r="E171" t="s">
        <v>26</v>
      </c>
    </row>
    <row r="172" spans="1:5" x14ac:dyDescent="0.25">
      <c r="A172" t="s">
        <v>1066</v>
      </c>
      <c r="B172" t="s">
        <v>1067</v>
      </c>
      <c r="C172" t="s">
        <v>839</v>
      </c>
      <c r="D172" t="s">
        <v>752</v>
      </c>
    </row>
    <row r="173" spans="1:5" x14ac:dyDescent="0.25">
      <c r="A173" t="s">
        <v>1246</v>
      </c>
      <c r="B173" t="s">
        <v>566</v>
      </c>
      <c r="C173" t="s">
        <v>731</v>
      </c>
      <c r="D173" t="s">
        <v>732</v>
      </c>
      <c r="E173" t="s">
        <v>26</v>
      </c>
    </row>
    <row r="174" spans="1:5" x14ac:dyDescent="0.25">
      <c r="A174" t="s">
        <v>1205</v>
      </c>
      <c r="B174" t="s">
        <v>343</v>
      </c>
      <c r="C174" t="s">
        <v>742</v>
      </c>
      <c r="D174" t="s">
        <v>740</v>
      </c>
      <c r="E174" t="s">
        <v>16</v>
      </c>
    </row>
    <row r="175" spans="1:5" x14ac:dyDescent="0.25">
      <c r="A175" t="s">
        <v>1227</v>
      </c>
      <c r="B175" t="s">
        <v>586</v>
      </c>
      <c r="C175" t="s">
        <v>254</v>
      </c>
      <c r="D175" t="s">
        <v>311</v>
      </c>
    </row>
    <row r="176" spans="1:5" x14ac:dyDescent="0.25">
      <c r="A176" t="s">
        <v>928</v>
      </c>
      <c r="B176" t="s">
        <v>929</v>
      </c>
      <c r="C176" t="s">
        <v>906</v>
      </c>
      <c r="D176" t="s">
        <v>740</v>
      </c>
    </row>
    <row r="177" spans="1:5" x14ac:dyDescent="0.25">
      <c r="A177" t="s">
        <v>1233</v>
      </c>
      <c r="B177" t="s">
        <v>181</v>
      </c>
      <c r="C177" t="s">
        <v>1013</v>
      </c>
    </row>
    <row r="178" spans="1:5" x14ac:dyDescent="0.25">
      <c r="A178" t="s">
        <v>922</v>
      </c>
      <c r="B178" t="s">
        <v>685</v>
      </c>
      <c r="C178" t="s">
        <v>923</v>
      </c>
      <c r="D178" t="s">
        <v>831</v>
      </c>
    </row>
    <row r="179" spans="1:5" x14ac:dyDescent="0.25">
      <c r="A179" t="s">
        <v>955</v>
      </c>
      <c r="B179" t="s">
        <v>542</v>
      </c>
      <c r="C179" t="s">
        <v>731</v>
      </c>
      <c r="D179" t="s">
        <v>732</v>
      </c>
      <c r="E179" t="s">
        <v>26</v>
      </c>
    </row>
    <row r="180" spans="1:5" x14ac:dyDescent="0.25">
      <c r="A180" t="s">
        <v>943</v>
      </c>
      <c r="B180" t="s">
        <v>323</v>
      </c>
      <c r="C180" t="s">
        <v>734</v>
      </c>
      <c r="D180" t="s">
        <v>735</v>
      </c>
    </row>
    <row r="181" spans="1:5" x14ac:dyDescent="0.25">
      <c r="A181" t="s">
        <v>1098</v>
      </c>
      <c r="B181" t="s">
        <v>585</v>
      </c>
      <c r="C181" t="s">
        <v>731</v>
      </c>
      <c r="D181" t="s">
        <v>732</v>
      </c>
      <c r="E181" t="s">
        <v>26</v>
      </c>
    </row>
    <row r="182" spans="1:5" x14ac:dyDescent="0.25">
      <c r="A182" t="s">
        <v>1134</v>
      </c>
      <c r="B182" t="s">
        <v>486</v>
      </c>
      <c r="C182" t="s">
        <v>1135</v>
      </c>
      <c r="D182" t="s">
        <v>740</v>
      </c>
    </row>
    <row r="183" spans="1:5" x14ac:dyDescent="0.25">
      <c r="A183" t="s">
        <v>1352</v>
      </c>
      <c r="B183" t="s">
        <v>387</v>
      </c>
      <c r="C183" t="s">
        <v>757</v>
      </c>
      <c r="D183" t="s">
        <v>729</v>
      </c>
    </row>
    <row r="184" spans="1:5" x14ac:dyDescent="0.25">
      <c r="A184" t="s">
        <v>1239</v>
      </c>
      <c r="B184" t="s">
        <v>420</v>
      </c>
      <c r="C184" t="s">
        <v>734</v>
      </c>
      <c r="D184" t="s">
        <v>735</v>
      </c>
    </row>
    <row r="185" spans="1:5" x14ac:dyDescent="0.25">
      <c r="A185" t="s">
        <v>981</v>
      </c>
      <c r="B185" t="s">
        <v>645</v>
      </c>
      <c r="C185" t="s">
        <v>742</v>
      </c>
      <c r="D185" t="s">
        <v>740</v>
      </c>
    </row>
    <row r="186" spans="1:5" x14ac:dyDescent="0.25">
      <c r="A186" t="s">
        <v>1031</v>
      </c>
      <c r="B186" t="s">
        <v>539</v>
      </c>
      <c r="C186" t="s">
        <v>742</v>
      </c>
      <c r="D186" t="s">
        <v>740</v>
      </c>
    </row>
    <row r="187" spans="1:5" x14ac:dyDescent="0.25">
      <c r="A187" t="s">
        <v>987</v>
      </c>
      <c r="B187" t="s">
        <v>988</v>
      </c>
      <c r="C187" t="s">
        <v>765</v>
      </c>
      <c r="D187" t="s">
        <v>735</v>
      </c>
    </row>
    <row r="188" spans="1:5" x14ac:dyDescent="0.25">
      <c r="A188" t="s">
        <v>1093</v>
      </c>
      <c r="B188" t="s">
        <v>318</v>
      </c>
      <c r="C188" t="s">
        <v>774</v>
      </c>
      <c r="D188" t="s">
        <v>856</v>
      </c>
    </row>
    <row r="189" spans="1:5" x14ac:dyDescent="0.25">
      <c r="A189" t="s">
        <v>1141</v>
      </c>
      <c r="B189" t="s">
        <v>1142</v>
      </c>
      <c r="C189" t="s">
        <v>254</v>
      </c>
      <c r="D189" t="s">
        <v>311</v>
      </c>
    </row>
    <row r="190" spans="1:5" x14ac:dyDescent="0.25">
      <c r="A190" t="s">
        <v>1296</v>
      </c>
      <c r="B190" t="s">
        <v>446</v>
      </c>
      <c r="C190" t="s">
        <v>742</v>
      </c>
      <c r="D190" t="s">
        <v>740</v>
      </c>
    </row>
    <row r="191" spans="1:5" x14ac:dyDescent="0.25">
      <c r="A191" t="s">
        <v>1209</v>
      </c>
      <c r="B191" t="s">
        <v>1210</v>
      </c>
      <c r="C191" t="s">
        <v>254</v>
      </c>
      <c r="D191" t="s">
        <v>311</v>
      </c>
    </row>
    <row r="192" spans="1:5" x14ac:dyDescent="0.25">
      <c r="A192" t="s">
        <v>1149</v>
      </c>
      <c r="B192" t="s">
        <v>405</v>
      </c>
      <c r="C192" t="s">
        <v>728</v>
      </c>
      <c r="D192" t="s">
        <v>728</v>
      </c>
    </row>
    <row r="193" spans="1:5" x14ac:dyDescent="0.25">
      <c r="A193" s="63" t="s">
        <v>926</v>
      </c>
      <c r="B193" s="35" t="s">
        <v>927</v>
      </c>
      <c r="C193" t="s">
        <v>254</v>
      </c>
      <c r="D193" s="35" t="s">
        <v>755</v>
      </c>
      <c r="E193" t="s">
        <v>16</v>
      </c>
    </row>
    <row r="194" spans="1:5" x14ac:dyDescent="0.25">
      <c r="A194" t="s">
        <v>1128</v>
      </c>
      <c r="B194" t="s">
        <v>474</v>
      </c>
      <c r="C194" t="s">
        <v>731</v>
      </c>
      <c r="D194" t="s">
        <v>732</v>
      </c>
      <c r="E194" t="s">
        <v>26</v>
      </c>
    </row>
    <row r="195" spans="1:5" x14ac:dyDescent="0.25">
      <c r="A195" t="s">
        <v>1261</v>
      </c>
      <c r="B195" t="s">
        <v>97</v>
      </c>
      <c r="C195" t="s">
        <v>923</v>
      </c>
      <c r="D195" t="s">
        <v>831</v>
      </c>
    </row>
    <row r="196" spans="1:5" x14ac:dyDescent="0.25">
      <c r="A196" t="s">
        <v>1232</v>
      </c>
      <c r="B196" t="s">
        <v>407</v>
      </c>
      <c r="C196" t="s">
        <v>728</v>
      </c>
      <c r="D196" t="s">
        <v>729</v>
      </c>
    </row>
    <row r="197" spans="1:5" x14ac:dyDescent="0.25">
      <c r="A197" t="s">
        <v>1190</v>
      </c>
      <c r="B197" t="s">
        <v>518</v>
      </c>
      <c r="C197" t="s">
        <v>731</v>
      </c>
      <c r="D197" t="s">
        <v>732</v>
      </c>
      <c r="E197" t="s">
        <v>26</v>
      </c>
    </row>
    <row r="198" spans="1:5" x14ac:dyDescent="0.25">
      <c r="A198" t="s">
        <v>1294</v>
      </c>
      <c r="B198" t="s">
        <v>148</v>
      </c>
      <c r="C198" t="s">
        <v>1079</v>
      </c>
      <c r="D198" t="s">
        <v>740</v>
      </c>
    </row>
    <row r="199" spans="1:5" x14ac:dyDescent="0.25">
      <c r="A199" t="s">
        <v>1078</v>
      </c>
      <c r="B199" t="s">
        <v>150</v>
      </c>
      <c r="C199" t="s">
        <v>1079</v>
      </c>
      <c r="D199" t="s">
        <v>740</v>
      </c>
    </row>
    <row r="200" spans="1:5" x14ac:dyDescent="0.25">
      <c r="A200" s="43" t="s">
        <v>1339</v>
      </c>
      <c r="B200" t="s">
        <v>663</v>
      </c>
      <c r="C200" t="s">
        <v>1010</v>
      </c>
      <c r="D200" t="s">
        <v>800</v>
      </c>
    </row>
    <row r="201" spans="1:5" x14ac:dyDescent="0.25">
      <c r="A201" t="s">
        <v>1281</v>
      </c>
      <c r="B201" t="s">
        <v>1282</v>
      </c>
      <c r="C201" t="s">
        <v>723</v>
      </c>
      <c r="D201" t="s">
        <v>1283</v>
      </c>
    </row>
    <row r="202" spans="1:5" x14ac:dyDescent="0.25">
      <c r="A202" t="s">
        <v>1139</v>
      </c>
      <c r="B202" t="s">
        <v>478</v>
      </c>
      <c r="C202" t="s">
        <v>254</v>
      </c>
      <c r="D202" t="s">
        <v>311</v>
      </c>
    </row>
    <row r="203" spans="1:5" x14ac:dyDescent="0.25">
      <c r="A203" t="s">
        <v>1069</v>
      </c>
      <c r="B203" t="s">
        <v>1070</v>
      </c>
      <c r="C203" t="s">
        <v>1048</v>
      </c>
      <c r="D203" t="s">
        <v>755</v>
      </c>
      <c r="E203" t="s">
        <v>26</v>
      </c>
    </row>
    <row r="204" spans="1:5" x14ac:dyDescent="0.25">
      <c r="A204" t="s">
        <v>1081</v>
      </c>
      <c r="B204" t="s">
        <v>546</v>
      </c>
      <c r="C204" t="s">
        <v>731</v>
      </c>
      <c r="D204" t="s">
        <v>732</v>
      </c>
      <c r="E204" t="s">
        <v>26</v>
      </c>
    </row>
    <row r="205" spans="1:5" x14ac:dyDescent="0.25">
      <c r="A205" t="s">
        <v>1111</v>
      </c>
      <c r="B205" t="s">
        <v>1112</v>
      </c>
      <c r="C205" t="s">
        <v>254</v>
      </c>
      <c r="D205" t="s">
        <v>311</v>
      </c>
    </row>
    <row r="206" spans="1:5" x14ac:dyDescent="0.25">
      <c r="A206" s="43" t="s">
        <v>1342</v>
      </c>
      <c r="B206" t="s">
        <v>655</v>
      </c>
      <c r="C206" t="s">
        <v>311</v>
      </c>
      <c r="D206" t="s">
        <v>755</v>
      </c>
    </row>
    <row r="207" spans="1:5" x14ac:dyDescent="0.25">
      <c r="A207" t="s">
        <v>1189</v>
      </c>
      <c r="B207" t="s">
        <v>593</v>
      </c>
      <c r="C207" t="s">
        <v>311</v>
      </c>
      <c r="D207" t="s">
        <v>755</v>
      </c>
      <c r="E207" t="s">
        <v>26</v>
      </c>
    </row>
    <row r="208" spans="1:5" x14ac:dyDescent="0.25">
      <c r="A208" t="s">
        <v>1213</v>
      </c>
      <c r="B208" t="s">
        <v>332</v>
      </c>
      <c r="C208" t="s">
        <v>788</v>
      </c>
      <c r="D208" t="s">
        <v>735</v>
      </c>
    </row>
    <row r="209" spans="1:5" x14ac:dyDescent="0.25">
      <c r="A209" t="s">
        <v>909</v>
      </c>
      <c r="B209" t="s">
        <v>339</v>
      </c>
      <c r="C209" t="s">
        <v>751</v>
      </c>
      <c r="D209" t="s">
        <v>752</v>
      </c>
      <c r="E209" t="s">
        <v>26</v>
      </c>
    </row>
    <row r="210" spans="1:5" x14ac:dyDescent="0.25">
      <c r="A210" t="s">
        <v>949</v>
      </c>
      <c r="B210" t="s">
        <v>543</v>
      </c>
      <c r="C210" t="s">
        <v>734</v>
      </c>
      <c r="D210" t="s">
        <v>735</v>
      </c>
    </row>
    <row r="211" spans="1:5" x14ac:dyDescent="0.25">
      <c r="A211" t="s">
        <v>1014</v>
      </c>
      <c r="B211" t="s">
        <v>608</v>
      </c>
      <c r="C211" t="s">
        <v>782</v>
      </c>
      <c r="D211" t="s">
        <v>780</v>
      </c>
    </row>
    <row r="212" spans="1:5" x14ac:dyDescent="0.25">
      <c r="A212" t="s">
        <v>1236</v>
      </c>
      <c r="B212" t="s">
        <v>516</v>
      </c>
      <c r="C212" t="s">
        <v>839</v>
      </c>
      <c r="D212" t="s">
        <v>752</v>
      </c>
    </row>
    <row r="213" spans="1:5" x14ac:dyDescent="0.25">
      <c r="A213" t="s">
        <v>1308</v>
      </c>
      <c r="B213" t="s">
        <v>46</v>
      </c>
      <c r="C213" t="s">
        <v>731</v>
      </c>
      <c r="D213" t="s">
        <v>732</v>
      </c>
      <c r="E213" t="s">
        <v>26</v>
      </c>
    </row>
    <row r="214" spans="1:5" x14ac:dyDescent="0.25">
      <c r="A214" t="s">
        <v>1005</v>
      </c>
      <c r="B214" t="s">
        <v>479</v>
      </c>
      <c r="C214" t="s">
        <v>765</v>
      </c>
      <c r="D214" t="s">
        <v>735</v>
      </c>
    </row>
    <row r="215" spans="1:5" x14ac:dyDescent="0.25">
      <c r="A215" t="s">
        <v>932</v>
      </c>
      <c r="B215" t="s">
        <v>422</v>
      </c>
      <c r="C215" t="s">
        <v>798</v>
      </c>
      <c r="D215" t="s">
        <v>740</v>
      </c>
    </row>
    <row r="216" spans="1:5" x14ac:dyDescent="0.25">
      <c r="A216" t="s">
        <v>930</v>
      </c>
      <c r="B216" t="s">
        <v>196</v>
      </c>
      <c r="C216" t="s">
        <v>817</v>
      </c>
      <c r="D216" t="s">
        <v>744</v>
      </c>
    </row>
    <row r="217" spans="1:5" x14ac:dyDescent="0.25">
      <c r="A217" t="s">
        <v>916</v>
      </c>
      <c r="B217" t="s">
        <v>454</v>
      </c>
      <c r="C217" t="s">
        <v>774</v>
      </c>
      <c r="D217" t="s">
        <v>775</v>
      </c>
    </row>
    <row r="218" spans="1:5" x14ac:dyDescent="0.25">
      <c r="A218" t="s">
        <v>1203</v>
      </c>
      <c r="B218" t="s">
        <v>137</v>
      </c>
      <c r="C218" t="s">
        <v>311</v>
      </c>
      <c r="D218" t="s">
        <v>755</v>
      </c>
      <c r="E218" t="s">
        <v>26</v>
      </c>
    </row>
    <row r="219" spans="1:5" x14ac:dyDescent="0.25">
      <c r="A219" t="s">
        <v>1300</v>
      </c>
      <c r="B219" t="s">
        <v>1301</v>
      </c>
      <c r="C219" t="s">
        <v>830</v>
      </c>
      <c r="D219" t="s">
        <v>831</v>
      </c>
    </row>
    <row r="220" spans="1:5" x14ac:dyDescent="0.25">
      <c r="A220" t="s">
        <v>1325</v>
      </c>
      <c r="B220" t="s">
        <v>156</v>
      </c>
      <c r="C220" t="s">
        <v>798</v>
      </c>
      <c r="D220" t="s">
        <v>740</v>
      </c>
    </row>
    <row r="221" spans="1:5" x14ac:dyDescent="0.25">
      <c r="A221" t="s">
        <v>1247</v>
      </c>
      <c r="B221" t="s">
        <v>445</v>
      </c>
      <c r="C221" t="s">
        <v>742</v>
      </c>
      <c r="D221" t="s">
        <v>740</v>
      </c>
    </row>
    <row r="222" spans="1:5" x14ac:dyDescent="0.25">
      <c r="A222" t="s">
        <v>990</v>
      </c>
      <c r="B222" t="s">
        <v>991</v>
      </c>
      <c r="C222" t="s">
        <v>731</v>
      </c>
      <c r="D222" t="s">
        <v>732</v>
      </c>
      <c r="E222" t="s">
        <v>26</v>
      </c>
    </row>
    <row r="223" spans="1:5" x14ac:dyDescent="0.25">
      <c r="A223" t="s">
        <v>1258</v>
      </c>
      <c r="B223" t="s">
        <v>468</v>
      </c>
      <c r="C223" t="s">
        <v>906</v>
      </c>
      <c r="D223" t="s">
        <v>740</v>
      </c>
    </row>
    <row r="224" spans="1:5" x14ac:dyDescent="0.25">
      <c r="A224" t="s">
        <v>1060</v>
      </c>
      <c r="B224" t="s">
        <v>353</v>
      </c>
      <c r="C224" t="s">
        <v>906</v>
      </c>
      <c r="D224" t="s">
        <v>740</v>
      </c>
    </row>
    <row r="225" spans="1:5" x14ac:dyDescent="0.25">
      <c r="A225" t="s">
        <v>1045</v>
      </c>
      <c r="B225" t="s">
        <v>494</v>
      </c>
      <c r="C225" t="s">
        <v>311</v>
      </c>
      <c r="D225" t="s">
        <v>755</v>
      </c>
      <c r="E225" t="s">
        <v>26</v>
      </c>
    </row>
    <row r="226" spans="1:5" x14ac:dyDescent="0.25">
      <c r="A226" t="s">
        <v>1162</v>
      </c>
      <c r="B226" t="s">
        <v>626</v>
      </c>
      <c r="C226" t="s">
        <v>731</v>
      </c>
      <c r="D226" t="s">
        <v>732</v>
      </c>
      <c r="E226" t="s">
        <v>26</v>
      </c>
    </row>
    <row r="227" spans="1:5" x14ac:dyDescent="0.25">
      <c r="A227" t="s">
        <v>1178</v>
      </c>
      <c r="B227" t="s">
        <v>159</v>
      </c>
      <c r="C227" t="s">
        <v>742</v>
      </c>
      <c r="D227" t="s">
        <v>740</v>
      </c>
    </row>
    <row r="228" spans="1:5" x14ac:dyDescent="0.25">
      <c r="A228" t="s">
        <v>1000</v>
      </c>
      <c r="B228" t="s">
        <v>399</v>
      </c>
      <c r="C228" t="s">
        <v>742</v>
      </c>
      <c r="D228" t="s">
        <v>740</v>
      </c>
    </row>
    <row r="229" spans="1:5" x14ac:dyDescent="0.25">
      <c r="A229" t="s">
        <v>1322</v>
      </c>
      <c r="B229" t="s">
        <v>363</v>
      </c>
      <c r="C229" t="s">
        <v>254</v>
      </c>
      <c r="D229" t="s">
        <v>311</v>
      </c>
    </row>
    <row r="230" spans="1:5" x14ac:dyDescent="0.25">
      <c r="A230" t="s">
        <v>1113</v>
      </c>
      <c r="B230" t="s">
        <v>530</v>
      </c>
      <c r="C230" t="s">
        <v>751</v>
      </c>
      <c r="D230" t="s">
        <v>752</v>
      </c>
      <c r="E230" t="s">
        <v>26</v>
      </c>
    </row>
    <row r="231" spans="1:5" x14ac:dyDescent="0.25">
      <c r="A231" t="s">
        <v>1321</v>
      </c>
      <c r="B231" s="35" t="s">
        <v>684</v>
      </c>
      <c r="D231" s="35" t="s">
        <v>72</v>
      </c>
    </row>
    <row r="232" spans="1:5" x14ac:dyDescent="0.25">
      <c r="A232" t="s">
        <v>1319</v>
      </c>
      <c r="B232" t="s">
        <v>1320</v>
      </c>
      <c r="C232" t="s">
        <v>1177</v>
      </c>
      <c r="D232" t="s">
        <v>784</v>
      </c>
    </row>
    <row r="233" spans="1:5" x14ac:dyDescent="0.25">
      <c r="A233" t="s">
        <v>951</v>
      </c>
      <c r="B233" t="s">
        <v>952</v>
      </c>
      <c r="C233" t="s">
        <v>784</v>
      </c>
      <c r="D233" t="s">
        <v>784</v>
      </c>
      <c r="E233" t="s">
        <v>26</v>
      </c>
    </row>
    <row r="234" spans="1:5" x14ac:dyDescent="0.25">
      <c r="A234" t="s">
        <v>1065</v>
      </c>
      <c r="B234" t="s">
        <v>354</v>
      </c>
      <c r="C234" t="s">
        <v>810</v>
      </c>
      <c r="D234" t="s">
        <v>735</v>
      </c>
    </row>
    <row r="235" spans="1:5" x14ac:dyDescent="0.25">
      <c r="A235" t="s">
        <v>924</v>
      </c>
      <c r="B235" t="s">
        <v>527</v>
      </c>
      <c r="C235" t="s">
        <v>751</v>
      </c>
      <c r="D235" t="s">
        <v>752</v>
      </c>
      <c r="E235" t="s">
        <v>26</v>
      </c>
    </row>
    <row r="236" spans="1:5" x14ac:dyDescent="0.25">
      <c r="A236" t="s">
        <v>1277</v>
      </c>
      <c r="B236" t="s">
        <v>100</v>
      </c>
      <c r="C236" t="s">
        <v>742</v>
      </c>
      <c r="D236" t="s">
        <v>740</v>
      </c>
    </row>
    <row r="237" spans="1:5" x14ac:dyDescent="0.25">
      <c r="A237" t="s">
        <v>989</v>
      </c>
      <c r="B237" t="s">
        <v>611</v>
      </c>
      <c r="C237" t="s">
        <v>254</v>
      </c>
      <c r="D237" t="s">
        <v>755</v>
      </c>
      <c r="E237" t="s">
        <v>26</v>
      </c>
    </row>
    <row r="238" spans="1:5" x14ac:dyDescent="0.25">
      <c r="A238" t="s">
        <v>1116</v>
      </c>
      <c r="B238" t="s">
        <v>477</v>
      </c>
      <c r="C238" t="s">
        <v>774</v>
      </c>
      <c r="D238" t="s">
        <v>856</v>
      </c>
    </row>
    <row r="239" spans="1:5" x14ac:dyDescent="0.25">
      <c r="A239" t="s">
        <v>968</v>
      </c>
      <c r="B239" t="s">
        <v>969</v>
      </c>
      <c r="C239" t="s">
        <v>254</v>
      </c>
      <c r="D239" t="s">
        <v>755</v>
      </c>
      <c r="E239" t="s">
        <v>26</v>
      </c>
    </row>
    <row r="240" spans="1:5" x14ac:dyDescent="0.25">
      <c r="A240" t="s">
        <v>1016</v>
      </c>
      <c r="B240" t="s">
        <v>326</v>
      </c>
      <c r="C240" t="s">
        <v>311</v>
      </c>
      <c r="D240" t="s">
        <v>755</v>
      </c>
      <c r="E240" t="s">
        <v>26</v>
      </c>
    </row>
    <row r="241" spans="1:5" x14ac:dyDescent="0.25">
      <c r="A241" t="s">
        <v>1256</v>
      </c>
      <c r="B241" t="s">
        <v>366</v>
      </c>
      <c r="C241" t="s">
        <v>734</v>
      </c>
      <c r="D241" t="s">
        <v>735</v>
      </c>
    </row>
    <row r="242" spans="1:5" x14ac:dyDescent="0.25">
      <c r="A242" t="s">
        <v>917</v>
      </c>
      <c r="B242" t="s">
        <v>483</v>
      </c>
      <c r="C242" t="s">
        <v>742</v>
      </c>
      <c r="D242" t="s">
        <v>740</v>
      </c>
    </row>
    <row r="243" spans="1:5" x14ac:dyDescent="0.25">
      <c r="A243" t="s">
        <v>1144</v>
      </c>
      <c r="B243" t="s">
        <v>336</v>
      </c>
      <c r="C243" t="s">
        <v>863</v>
      </c>
      <c r="D243" t="s">
        <v>775</v>
      </c>
    </row>
    <row r="244" spans="1:5" x14ac:dyDescent="0.25">
      <c r="A244" t="s">
        <v>725</v>
      </c>
      <c r="B244" t="s">
        <v>311</v>
      </c>
      <c r="C244" t="s">
        <v>311</v>
      </c>
      <c r="D244" t="s">
        <v>311</v>
      </c>
    </row>
    <row r="245" spans="1:5" x14ac:dyDescent="0.25">
      <c r="A245" t="s">
        <v>725</v>
      </c>
      <c r="B245" s="35" t="s">
        <v>347</v>
      </c>
      <c r="D245" s="35"/>
    </row>
    <row r="246" spans="1:5" x14ac:dyDescent="0.25">
      <c r="A246" s="43" t="s">
        <v>900</v>
      </c>
      <c r="B246" t="s">
        <v>469</v>
      </c>
      <c r="C246" t="s">
        <v>311</v>
      </c>
      <c r="D246" t="s">
        <v>755</v>
      </c>
      <c r="E246" t="s">
        <v>26</v>
      </c>
    </row>
    <row r="247" spans="1:5" x14ac:dyDescent="0.25">
      <c r="A247" t="s">
        <v>1328</v>
      </c>
      <c r="B247" t="s">
        <v>448</v>
      </c>
      <c r="C247" t="s">
        <v>1329</v>
      </c>
      <c r="D247" t="s">
        <v>1084</v>
      </c>
    </row>
    <row r="248" spans="1:5" x14ac:dyDescent="0.25">
      <c r="A248" t="s">
        <v>1302</v>
      </c>
      <c r="B248" t="s">
        <v>459</v>
      </c>
      <c r="C248" t="s">
        <v>254</v>
      </c>
      <c r="D248" t="s">
        <v>755</v>
      </c>
    </row>
    <row r="249" spans="1:5" x14ac:dyDescent="0.25">
      <c r="A249" t="s">
        <v>1087</v>
      </c>
      <c r="B249" t="s">
        <v>1088</v>
      </c>
      <c r="C249" t="s">
        <v>810</v>
      </c>
      <c r="D249" t="s">
        <v>735</v>
      </c>
    </row>
    <row r="250" spans="1:5" x14ac:dyDescent="0.25">
      <c r="A250" t="s">
        <v>1096</v>
      </c>
      <c r="B250" t="s">
        <v>368</v>
      </c>
      <c r="C250" t="s">
        <v>742</v>
      </c>
      <c r="D250" t="s">
        <v>740</v>
      </c>
      <c r="E250" t="s">
        <v>16</v>
      </c>
    </row>
    <row r="251" spans="1:5" x14ac:dyDescent="0.25">
      <c r="A251" t="s">
        <v>1085</v>
      </c>
      <c r="B251" t="s">
        <v>555</v>
      </c>
      <c r="C251" t="s">
        <v>731</v>
      </c>
      <c r="D251" t="s">
        <v>732</v>
      </c>
      <c r="E251" t="s">
        <v>26</v>
      </c>
    </row>
    <row r="252" spans="1:5" x14ac:dyDescent="0.25">
      <c r="A252" t="s">
        <v>1194</v>
      </c>
      <c r="B252" t="s">
        <v>435</v>
      </c>
      <c r="C252" t="s">
        <v>798</v>
      </c>
      <c r="D252" t="s">
        <v>740</v>
      </c>
    </row>
    <row r="253" spans="1:5" x14ac:dyDescent="0.25">
      <c r="A253" t="s">
        <v>1208</v>
      </c>
      <c r="B253" t="s">
        <v>341</v>
      </c>
      <c r="C253" t="s">
        <v>973</v>
      </c>
      <c r="D253" t="s">
        <v>812</v>
      </c>
    </row>
    <row r="254" spans="1:5" x14ac:dyDescent="0.25">
      <c r="A254" s="63" t="s">
        <v>1137</v>
      </c>
      <c r="B254" s="35" t="s">
        <v>1138</v>
      </c>
      <c r="C254" t="s">
        <v>254</v>
      </c>
      <c r="D254" s="35" t="s">
        <v>755</v>
      </c>
      <c r="E254" t="s">
        <v>16</v>
      </c>
    </row>
    <row r="255" spans="1:5" x14ac:dyDescent="0.25">
      <c r="A255" t="s">
        <v>881</v>
      </c>
      <c r="B255" t="s">
        <v>311</v>
      </c>
      <c r="C255" t="s">
        <v>311</v>
      </c>
      <c r="D255" t="s">
        <v>311</v>
      </c>
    </row>
    <row r="256" spans="1:5" x14ac:dyDescent="0.25">
      <c r="A256" s="27" t="s">
        <v>881</v>
      </c>
      <c r="B256" t="s">
        <v>317</v>
      </c>
      <c r="C256" t="s">
        <v>831</v>
      </c>
    </row>
    <row r="257" spans="1:5" x14ac:dyDescent="0.25">
      <c r="A257" t="s">
        <v>1251</v>
      </c>
      <c r="B257" t="s">
        <v>652</v>
      </c>
      <c r="C257" t="s">
        <v>311</v>
      </c>
      <c r="D257" t="s">
        <v>755</v>
      </c>
      <c r="E257" t="s">
        <v>26</v>
      </c>
    </row>
    <row r="258" spans="1:5" x14ac:dyDescent="0.25">
      <c r="A258" t="s">
        <v>1118</v>
      </c>
      <c r="B258" t="s">
        <v>1119</v>
      </c>
      <c r="C258" t="s">
        <v>765</v>
      </c>
      <c r="D258" t="s">
        <v>735</v>
      </c>
    </row>
    <row r="259" spans="1:5" x14ac:dyDescent="0.25">
      <c r="A259" t="s">
        <v>1059</v>
      </c>
      <c r="B259" t="s">
        <v>498</v>
      </c>
      <c r="C259" t="s">
        <v>798</v>
      </c>
      <c r="D259" t="s">
        <v>740</v>
      </c>
    </row>
    <row r="260" spans="1:5" x14ac:dyDescent="0.25">
      <c r="A260" t="s">
        <v>1303</v>
      </c>
      <c r="B260" s="35" t="s">
        <v>1304</v>
      </c>
      <c r="C260" t="s">
        <v>906</v>
      </c>
      <c r="D260" s="35" t="s">
        <v>744</v>
      </c>
    </row>
    <row r="261" spans="1:5" x14ac:dyDescent="0.25">
      <c r="A261" t="s">
        <v>936</v>
      </c>
      <c r="B261" t="s">
        <v>937</v>
      </c>
      <c r="C261" t="s">
        <v>254</v>
      </c>
      <c r="D261" t="s">
        <v>311</v>
      </c>
    </row>
    <row r="262" spans="1:5" x14ac:dyDescent="0.25">
      <c r="A262" t="s">
        <v>1012</v>
      </c>
      <c r="B262" t="s">
        <v>183</v>
      </c>
      <c r="C262" t="s">
        <v>1013</v>
      </c>
    </row>
    <row r="263" spans="1:5" x14ac:dyDescent="0.25">
      <c r="A263" t="s">
        <v>1225</v>
      </c>
      <c r="B263" t="s">
        <v>679</v>
      </c>
      <c r="C263" t="s">
        <v>254</v>
      </c>
      <c r="D263" t="s">
        <v>755</v>
      </c>
      <c r="E263" t="s">
        <v>26</v>
      </c>
    </row>
    <row r="264" spans="1:5" x14ac:dyDescent="0.25">
      <c r="A264" t="s">
        <v>1234</v>
      </c>
      <c r="B264" t="s">
        <v>1235</v>
      </c>
      <c r="C264" t="s">
        <v>731</v>
      </c>
      <c r="D264" t="s">
        <v>744</v>
      </c>
      <c r="E264" t="s">
        <v>26</v>
      </c>
    </row>
    <row r="265" spans="1:5" x14ac:dyDescent="0.25">
      <c r="A265" t="s">
        <v>1004</v>
      </c>
      <c r="B265" t="s">
        <v>242</v>
      </c>
      <c r="C265" t="s">
        <v>796</v>
      </c>
      <c r="D265" t="s">
        <v>740</v>
      </c>
    </row>
    <row r="266" spans="1:5" x14ac:dyDescent="0.25">
      <c r="A266" s="43" t="s">
        <v>901</v>
      </c>
      <c r="B266" t="s">
        <v>902</v>
      </c>
      <c r="C266" t="s">
        <v>731</v>
      </c>
      <c r="D266" t="s">
        <v>732</v>
      </c>
      <c r="E266" t="s">
        <v>26</v>
      </c>
    </row>
    <row r="267" spans="1:5" x14ac:dyDescent="0.25">
      <c r="A267" t="s">
        <v>1244</v>
      </c>
      <c r="B267" t="s">
        <v>229</v>
      </c>
      <c r="C267" t="s">
        <v>1245</v>
      </c>
      <c r="D267" t="s">
        <v>869</v>
      </c>
    </row>
    <row r="268" spans="1:5" x14ac:dyDescent="0.25">
      <c r="A268" t="s">
        <v>980</v>
      </c>
      <c r="B268" t="s">
        <v>388</v>
      </c>
      <c r="C268" t="s">
        <v>731</v>
      </c>
      <c r="D268" t="s">
        <v>755</v>
      </c>
      <c r="E268" t="s">
        <v>26</v>
      </c>
    </row>
    <row r="269" spans="1:5" x14ac:dyDescent="0.25">
      <c r="A269" t="s">
        <v>1027</v>
      </c>
      <c r="B269" t="s">
        <v>1028</v>
      </c>
      <c r="C269" t="s">
        <v>782</v>
      </c>
      <c r="D269" t="s">
        <v>780</v>
      </c>
    </row>
    <row r="270" spans="1:5" x14ac:dyDescent="0.25">
      <c r="A270" t="s">
        <v>1002</v>
      </c>
      <c r="B270" t="s">
        <v>1003</v>
      </c>
      <c r="C270" t="s">
        <v>311</v>
      </c>
      <c r="D270" t="s">
        <v>311</v>
      </c>
    </row>
    <row r="271" spans="1:5" x14ac:dyDescent="0.25">
      <c r="A271" t="s">
        <v>956</v>
      </c>
      <c r="B271" t="s">
        <v>162</v>
      </c>
      <c r="C271" t="s">
        <v>798</v>
      </c>
      <c r="D271" t="s">
        <v>740</v>
      </c>
    </row>
    <row r="272" spans="1:5" x14ac:dyDescent="0.25">
      <c r="A272" t="s">
        <v>1105</v>
      </c>
      <c r="B272" t="s">
        <v>418</v>
      </c>
      <c r="C272" t="s">
        <v>731</v>
      </c>
      <c r="D272" t="s">
        <v>732</v>
      </c>
      <c r="E272" t="s">
        <v>26</v>
      </c>
    </row>
    <row r="273" spans="1:5" x14ac:dyDescent="0.25">
      <c r="A273" t="s">
        <v>1071</v>
      </c>
      <c r="B273" t="s">
        <v>677</v>
      </c>
      <c r="C273" t="s">
        <v>788</v>
      </c>
      <c r="D273" t="s">
        <v>735</v>
      </c>
    </row>
    <row r="274" spans="1:5" x14ac:dyDescent="0.25">
      <c r="A274" t="s">
        <v>1114</v>
      </c>
      <c r="B274" t="s">
        <v>362</v>
      </c>
      <c r="C274" t="s">
        <v>798</v>
      </c>
      <c r="D274" t="s">
        <v>740</v>
      </c>
    </row>
    <row r="275" spans="1:5" x14ac:dyDescent="0.25">
      <c r="A275" t="s">
        <v>1058</v>
      </c>
      <c r="B275" t="s">
        <v>525</v>
      </c>
      <c r="C275" t="s">
        <v>739</v>
      </c>
      <c r="D275" t="s">
        <v>740</v>
      </c>
    </row>
    <row r="276" spans="1:5" x14ac:dyDescent="0.25">
      <c r="A276" s="43" t="s">
        <v>898</v>
      </c>
      <c r="B276" t="s">
        <v>899</v>
      </c>
      <c r="C276" t="s">
        <v>784</v>
      </c>
      <c r="D276" t="s">
        <v>785</v>
      </c>
      <c r="E276" t="s">
        <v>26</v>
      </c>
    </row>
    <row r="277" spans="1:5" x14ac:dyDescent="0.25">
      <c r="A277" t="s">
        <v>1108</v>
      </c>
      <c r="B277" t="s">
        <v>234</v>
      </c>
      <c r="C277" t="s">
        <v>768</v>
      </c>
      <c r="D277" t="s">
        <v>740</v>
      </c>
    </row>
    <row r="278" spans="1:5" x14ac:dyDescent="0.25">
      <c r="A278" t="s">
        <v>1195</v>
      </c>
      <c r="B278" t="s">
        <v>1196</v>
      </c>
      <c r="C278" t="s">
        <v>973</v>
      </c>
      <c r="D278" t="s">
        <v>812</v>
      </c>
    </row>
    <row r="279" spans="1:5" x14ac:dyDescent="0.25">
      <c r="A279" t="s">
        <v>1335</v>
      </c>
      <c r="B279" s="35" t="s">
        <v>200</v>
      </c>
      <c r="C279" t="s">
        <v>757</v>
      </c>
      <c r="D279" s="35" t="s">
        <v>729</v>
      </c>
    </row>
    <row r="280" spans="1:5" x14ac:dyDescent="0.25">
      <c r="A280" t="s">
        <v>1131</v>
      </c>
      <c r="B280" t="s">
        <v>1132</v>
      </c>
      <c r="C280" t="s">
        <v>731</v>
      </c>
      <c r="D280" t="s">
        <v>744</v>
      </c>
      <c r="E280" t="s">
        <v>26</v>
      </c>
    </row>
    <row r="281" spans="1:5" x14ac:dyDescent="0.25">
      <c r="A281" t="s">
        <v>894</v>
      </c>
      <c r="B281" t="s">
        <v>335</v>
      </c>
      <c r="C281" t="s">
        <v>723</v>
      </c>
      <c r="D281" t="s">
        <v>762</v>
      </c>
    </row>
    <row r="282" spans="1:5" x14ac:dyDescent="0.25">
      <c r="A282" t="s">
        <v>1123</v>
      </c>
      <c r="B282" t="s">
        <v>175</v>
      </c>
      <c r="C282" t="s">
        <v>1124</v>
      </c>
      <c r="D282" t="s">
        <v>740</v>
      </c>
    </row>
    <row r="283" spans="1:5" x14ac:dyDescent="0.25">
      <c r="A283" t="s">
        <v>1204</v>
      </c>
      <c r="B283" t="s">
        <v>529</v>
      </c>
      <c r="C283" t="s">
        <v>751</v>
      </c>
      <c r="D283" t="s">
        <v>752</v>
      </c>
      <c r="E283" t="s">
        <v>26</v>
      </c>
    </row>
    <row r="284" spans="1:5" x14ac:dyDescent="0.25">
      <c r="A284" t="s">
        <v>1265</v>
      </c>
      <c r="B284" t="s">
        <v>1266</v>
      </c>
      <c r="C284" t="s">
        <v>784</v>
      </c>
      <c r="D284" t="s">
        <v>784</v>
      </c>
      <c r="E284" t="s">
        <v>26</v>
      </c>
    </row>
    <row r="285" spans="1:5" x14ac:dyDescent="0.25">
      <c r="A285" t="s">
        <v>959</v>
      </c>
      <c r="B285" t="s">
        <v>427</v>
      </c>
      <c r="C285" t="s">
        <v>960</v>
      </c>
      <c r="D285" t="s">
        <v>728</v>
      </c>
    </row>
    <row r="286" spans="1:5" x14ac:dyDescent="0.25">
      <c r="A286" t="s">
        <v>920</v>
      </c>
      <c r="B286" t="s">
        <v>352</v>
      </c>
      <c r="C286" t="s">
        <v>798</v>
      </c>
      <c r="D286" t="s">
        <v>740</v>
      </c>
    </row>
    <row r="287" spans="1:5" x14ac:dyDescent="0.25">
      <c r="A287" s="43" t="s">
        <v>907</v>
      </c>
      <c r="B287" t="s">
        <v>591</v>
      </c>
      <c r="C287" t="s">
        <v>908</v>
      </c>
      <c r="D287" t="s">
        <v>744</v>
      </c>
    </row>
    <row r="288" spans="1:5" x14ac:dyDescent="0.25">
      <c r="A288" t="s">
        <v>945</v>
      </c>
      <c r="B288" t="s">
        <v>504</v>
      </c>
      <c r="C288" t="s">
        <v>731</v>
      </c>
      <c r="D288" t="s">
        <v>732</v>
      </c>
      <c r="E288" t="s">
        <v>26</v>
      </c>
    </row>
    <row r="289" spans="1:5" x14ac:dyDescent="0.25">
      <c r="A289" s="43" t="s">
        <v>905</v>
      </c>
      <c r="B289" t="s">
        <v>562</v>
      </c>
      <c r="C289" t="s">
        <v>906</v>
      </c>
      <c r="D289" t="s">
        <v>856</v>
      </c>
    </row>
    <row r="290" spans="1:5" x14ac:dyDescent="0.25">
      <c r="A290" s="13" t="s">
        <v>934</v>
      </c>
      <c r="B290" t="s">
        <v>935</v>
      </c>
      <c r="C290" t="s">
        <v>734</v>
      </c>
      <c r="D290" t="s">
        <v>735</v>
      </c>
    </row>
    <row r="291" spans="1:5" x14ac:dyDescent="0.25">
      <c r="A291" t="s">
        <v>1334</v>
      </c>
      <c r="B291" t="s">
        <v>615</v>
      </c>
      <c r="C291" t="s">
        <v>784</v>
      </c>
      <c r="D291" t="s">
        <v>784</v>
      </c>
      <c r="E291" t="s">
        <v>26</v>
      </c>
    </row>
    <row r="292" spans="1:5" x14ac:dyDescent="0.25">
      <c r="A292" t="s">
        <v>1076</v>
      </c>
      <c r="B292" t="s">
        <v>519</v>
      </c>
      <c r="C292" t="s">
        <v>777</v>
      </c>
      <c r="D292" t="s">
        <v>729</v>
      </c>
    </row>
    <row r="293" spans="1:5" x14ac:dyDescent="0.25">
      <c r="A293" t="s">
        <v>1161</v>
      </c>
      <c r="B293" t="s">
        <v>371</v>
      </c>
      <c r="C293" t="s">
        <v>784</v>
      </c>
      <c r="D293" t="s">
        <v>784</v>
      </c>
      <c r="E293" t="s">
        <v>26</v>
      </c>
    </row>
    <row r="294" spans="1:5" x14ac:dyDescent="0.25">
      <c r="A294" t="s">
        <v>1326</v>
      </c>
      <c r="B294" t="s">
        <v>633</v>
      </c>
      <c r="C294" t="s">
        <v>731</v>
      </c>
      <c r="D294" t="s">
        <v>744</v>
      </c>
      <c r="E294" t="s">
        <v>26</v>
      </c>
    </row>
    <row r="295" spans="1:5" x14ac:dyDescent="0.25">
      <c r="A295" t="s">
        <v>947</v>
      </c>
      <c r="B295" t="s">
        <v>260</v>
      </c>
      <c r="C295" t="s">
        <v>731</v>
      </c>
      <c r="D295" t="s">
        <v>732</v>
      </c>
      <c r="E295" t="s">
        <v>26</v>
      </c>
    </row>
    <row r="296" spans="1:5" x14ac:dyDescent="0.25">
      <c r="A296" s="63" t="s">
        <v>1129</v>
      </c>
      <c r="B296" s="35" t="s">
        <v>1130</v>
      </c>
      <c r="C296" t="s">
        <v>254</v>
      </c>
      <c r="D296" s="35" t="s">
        <v>755</v>
      </c>
      <c r="E296" t="s">
        <v>16</v>
      </c>
    </row>
    <row r="297" spans="1:5" x14ac:dyDescent="0.25">
      <c r="A297" t="s">
        <v>1275</v>
      </c>
      <c r="B297" t="s">
        <v>1276</v>
      </c>
      <c r="C297" t="s">
        <v>906</v>
      </c>
      <c r="D297" t="s">
        <v>740</v>
      </c>
    </row>
    <row r="298" spans="1:5" x14ac:dyDescent="0.25">
      <c r="A298" t="s">
        <v>1025</v>
      </c>
      <c r="B298" s="35" t="s">
        <v>216</v>
      </c>
      <c r="D298" s="35" t="s">
        <v>729</v>
      </c>
    </row>
    <row r="299" spans="1:5" x14ac:dyDescent="0.25">
      <c r="A299" t="s">
        <v>1074</v>
      </c>
      <c r="B299" t="s">
        <v>584</v>
      </c>
      <c r="C299" t="s">
        <v>906</v>
      </c>
      <c r="D299" t="s">
        <v>856</v>
      </c>
    </row>
    <row r="300" spans="1:5" x14ac:dyDescent="0.25">
      <c r="A300" t="s">
        <v>919</v>
      </c>
      <c r="B300" t="s">
        <v>265</v>
      </c>
      <c r="C300" t="s">
        <v>723</v>
      </c>
      <c r="D300" t="s">
        <v>755</v>
      </c>
      <c r="E300" t="s">
        <v>26</v>
      </c>
    </row>
    <row r="301" spans="1:5" x14ac:dyDescent="0.25">
      <c r="A301" t="s">
        <v>1006</v>
      </c>
      <c r="B301" t="s">
        <v>168</v>
      </c>
      <c r="C301" t="s">
        <v>1007</v>
      </c>
      <c r="D301" t="s">
        <v>740</v>
      </c>
    </row>
    <row r="302" spans="1:5" x14ac:dyDescent="0.25">
      <c r="A302" t="s">
        <v>1254</v>
      </c>
      <c r="B302" t="s">
        <v>1255</v>
      </c>
      <c r="C302" t="s">
        <v>734</v>
      </c>
      <c r="D302" t="s">
        <v>735</v>
      </c>
    </row>
    <row r="303" spans="1:5" x14ac:dyDescent="0.25">
      <c r="A303" t="s">
        <v>1267</v>
      </c>
      <c r="B303" t="s">
        <v>503</v>
      </c>
      <c r="C303" t="s">
        <v>1010</v>
      </c>
      <c r="D303" t="s">
        <v>800</v>
      </c>
    </row>
    <row r="304" spans="1:5" x14ac:dyDescent="0.25">
      <c r="A304" t="s">
        <v>1219</v>
      </c>
      <c r="B304" t="s">
        <v>1220</v>
      </c>
      <c r="C304" t="s">
        <v>311</v>
      </c>
      <c r="D304" t="s">
        <v>755</v>
      </c>
      <c r="E304" t="s">
        <v>26</v>
      </c>
    </row>
    <row r="305" spans="1:5" x14ac:dyDescent="0.25">
      <c r="A305" t="s">
        <v>1305</v>
      </c>
      <c r="B305" t="s">
        <v>1306</v>
      </c>
      <c r="C305" t="s">
        <v>1010</v>
      </c>
      <c r="D305" t="s">
        <v>800</v>
      </c>
    </row>
    <row r="306" spans="1:5" x14ac:dyDescent="0.25">
      <c r="A306" t="s">
        <v>1068</v>
      </c>
      <c r="B306" s="35" t="s">
        <v>671</v>
      </c>
      <c r="D306" s="35" t="s">
        <v>72</v>
      </c>
    </row>
    <row r="307" spans="1:5" x14ac:dyDescent="0.25">
      <c r="A307" t="s">
        <v>1174</v>
      </c>
      <c r="B307" t="s">
        <v>173</v>
      </c>
      <c r="C307" t="s">
        <v>742</v>
      </c>
      <c r="D307" t="s">
        <v>740</v>
      </c>
    </row>
    <row r="308" spans="1:5" x14ac:dyDescent="0.25">
      <c r="A308" t="s">
        <v>1187</v>
      </c>
      <c r="B308" t="s">
        <v>1188</v>
      </c>
      <c r="C308" t="s">
        <v>254</v>
      </c>
      <c r="D308" t="s">
        <v>311</v>
      </c>
    </row>
    <row r="309" spans="1:5" x14ac:dyDescent="0.25">
      <c r="A309" t="s">
        <v>1089</v>
      </c>
      <c r="B309" t="s">
        <v>358</v>
      </c>
      <c r="C309" t="s">
        <v>311</v>
      </c>
      <c r="D309" t="s">
        <v>755</v>
      </c>
      <c r="E309" t="s">
        <v>26</v>
      </c>
    </row>
    <row r="310" spans="1:5" x14ac:dyDescent="0.25">
      <c r="A310" t="s">
        <v>1086</v>
      </c>
      <c r="B310" t="s">
        <v>487</v>
      </c>
      <c r="C310" t="s">
        <v>742</v>
      </c>
      <c r="D310" t="s">
        <v>740</v>
      </c>
    </row>
    <row r="311" spans="1:5" x14ac:dyDescent="0.25">
      <c r="A311" t="s">
        <v>1046</v>
      </c>
      <c r="B311" t="s">
        <v>382</v>
      </c>
      <c r="C311" t="s">
        <v>746</v>
      </c>
      <c r="D311" t="s">
        <v>740</v>
      </c>
    </row>
    <row r="312" spans="1:5" x14ac:dyDescent="0.25">
      <c r="A312" t="s">
        <v>948</v>
      </c>
      <c r="B312" t="s">
        <v>466</v>
      </c>
      <c r="C312" t="s">
        <v>798</v>
      </c>
      <c r="D312" t="s">
        <v>740</v>
      </c>
    </row>
    <row r="313" spans="1:5" x14ac:dyDescent="0.25">
      <c r="A313" t="s">
        <v>979</v>
      </c>
      <c r="B313" t="s">
        <v>480</v>
      </c>
      <c r="C313" t="s">
        <v>739</v>
      </c>
      <c r="D313" t="s">
        <v>740</v>
      </c>
    </row>
    <row r="314" spans="1:5" x14ac:dyDescent="0.25">
      <c r="A314" s="43" t="s">
        <v>1345</v>
      </c>
      <c r="B314" t="s">
        <v>434</v>
      </c>
      <c r="C314" t="s">
        <v>742</v>
      </c>
      <c r="D314" t="s">
        <v>740</v>
      </c>
    </row>
    <row r="315" spans="1:5" x14ac:dyDescent="0.25">
      <c r="A315" t="s">
        <v>1035</v>
      </c>
      <c r="B315" t="s">
        <v>1036</v>
      </c>
      <c r="C315" t="s">
        <v>782</v>
      </c>
      <c r="D315" t="s">
        <v>780</v>
      </c>
    </row>
    <row r="316" spans="1:5" x14ac:dyDescent="0.25">
      <c r="A316" t="s">
        <v>940</v>
      </c>
      <c r="B316" t="s">
        <v>563</v>
      </c>
      <c r="C316" t="s">
        <v>765</v>
      </c>
      <c r="D316" t="s">
        <v>735</v>
      </c>
    </row>
    <row r="317" spans="1:5" x14ac:dyDescent="0.25">
      <c r="A317" t="s">
        <v>1327</v>
      </c>
      <c r="B317" t="s">
        <v>502</v>
      </c>
      <c r="C317" t="s">
        <v>254</v>
      </c>
      <c r="D317" t="s">
        <v>755</v>
      </c>
    </row>
    <row r="318" spans="1:5" x14ac:dyDescent="0.25">
      <c r="A318" s="14" t="s">
        <v>1133</v>
      </c>
      <c r="B318" t="s">
        <v>378</v>
      </c>
      <c r="C318" t="s">
        <v>731</v>
      </c>
      <c r="D318" t="s">
        <v>732</v>
      </c>
      <c r="E318" t="s">
        <v>26</v>
      </c>
    </row>
    <row r="319" spans="1:5" x14ac:dyDescent="0.25">
      <c r="A319" t="s">
        <v>1109</v>
      </c>
      <c r="B319" t="s">
        <v>1110</v>
      </c>
      <c r="C319" t="s">
        <v>311</v>
      </c>
      <c r="D319" t="s">
        <v>755</v>
      </c>
      <c r="E319" t="s">
        <v>26</v>
      </c>
    </row>
    <row r="320" spans="1:5" x14ac:dyDescent="0.25">
      <c r="A320" t="s">
        <v>1075</v>
      </c>
      <c r="B320" t="s">
        <v>153</v>
      </c>
      <c r="C320" t="s">
        <v>742</v>
      </c>
      <c r="D320" t="s">
        <v>740</v>
      </c>
    </row>
    <row r="321" spans="1:5" x14ac:dyDescent="0.25">
      <c r="A321" t="s">
        <v>933</v>
      </c>
      <c r="B321" t="s">
        <v>458</v>
      </c>
      <c r="C321" t="s">
        <v>765</v>
      </c>
      <c r="D321" t="s">
        <v>735</v>
      </c>
    </row>
    <row r="322" spans="1:5" x14ac:dyDescent="0.25">
      <c r="A322" t="s">
        <v>1160</v>
      </c>
      <c r="B322" t="s">
        <v>364</v>
      </c>
      <c r="C322" t="s">
        <v>774</v>
      </c>
      <c r="D322" t="s">
        <v>856</v>
      </c>
    </row>
    <row r="323" spans="1:5" x14ac:dyDescent="0.25">
      <c r="A323" t="s">
        <v>1207</v>
      </c>
      <c r="B323" t="s">
        <v>616</v>
      </c>
      <c r="C323" t="s">
        <v>1121</v>
      </c>
      <c r="D323" t="s">
        <v>831</v>
      </c>
    </row>
    <row r="324" spans="1:5" x14ac:dyDescent="0.25">
      <c r="A324" t="s">
        <v>1018</v>
      </c>
      <c r="B324" t="s">
        <v>375</v>
      </c>
      <c r="C324" t="s">
        <v>731</v>
      </c>
      <c r="D324" t="s">
        <v>732</v>
      </c>
      <c r="E324" t="s">
        <v>26</v>
      </c>
    </row>
    <row r="325" spans="1:5" x14ac:dyDescent="0.25">
      <c r="A325" t="s">
        <v>1168</v>
      </c>
      <c r="B325" t="s">
        <v>582</v>
      </c>
      <c r="C325" t="s">
        <v>1169</v>
      </c>
      <c r="D325" t="s">
        <v>740</v>
      </c>
    </row>
    <row r="326" spans="1:5" x14ac:dyDescent="0.25">
      <c r="A326" t="s">
        <v>1183</v>
      </c>
      <c r="B326" t="s">
        <v>355</v>
      </c>
      <c r="C326" t="s">
        <v>1135</v>
      </c>
      <c r="D326" t="s">
        <v>740</v>
      </c>
    </row>
    <row r="327" spans="1:5" x14ac:dyDescent="0.25">
      <c r="A327" t="s">
        <v>1120</v>
      </c>
      <c r="B327" t="s">
        <v>580</v>
      </c>
      <c r="C327" t="s">
        <v>1121</v>
      </c>
      <c r="D327" t="s">
        <v>831</v>
      </c>
    </row>
    <row r="328" spans="1:5" x14ac:dyDescent="0.25">
      <c r="A328" t="s">
        <v>1040</v>
      </c>
      <c r="B328" t="s">
        <v>554</v>
      </c>
      <c r="C328" t="s">
        <v>731</v>
      </c>
      <c r="D328" t="s">
        <v>732</v>
      </c>
      <c r="E328" t="s">
        <v>26</v>
      </c>
    </row>
    <row r="329" spans="1:5" x14ac:dyDescent="0.25">
      <c r="A329" t="s">
        <v>1249</v>
      </c>
      <c r="B329" t="s">
        <v>592</v>
      </c>
      <c r="C329" t="s">
        <v>798</v>
      </c>
      <c r="D329" t="s">
        <v>740</v>
      </c>
    </row>
    <row r="330" spans="1:5" x14ac:dyDescent="0.25">
      <c r="A330" s="63" t="s">
        <v>1314</v>
      </c>
      <c r="B330" s="35" t="s">
        <v>1315</v>
      </c>
      <c r="C330" t="s">
        <v>254</v>
      </c>
      <c r="D330" s="35" t="s">
        <v>755</v>
      </c>
      <c r="E330" t="s">
        <v>757</v>
      </c>
    </row>
    <row r="331" spans="1:5" x14ac:dyDescent="0.25">
      <c r="A331" t="s">
        <v>1257</v>
      </c>
      <c r="B331" t="s">
        <v>614</v>
      </c>
      <c r="C331" t="s">
        <v>751</v>
      </c>
      <c r="D331" t="s">
        <v>752</v>
      </c>
      <c r="E331" t="s">
        <v>26</v>
      </c>
    </row>
    <row r="332" spans="1:5" x14ac:dyDescent="0.25">
      <c r="A332" t="s">
        <v>1215</v>
      </c>
      <c r="B332" t="s">
        <v>428</v>
      </c>
      <c r="C332" t="s">
        <v>254</v>
      </c>
      <c r="D332" t="s">
        <v>311</v>
      </c>
    </row>
    <row r="333" spans="1:5" x14ac:dyDescent="0.25">
      <c r="A333" t="s">
        <v>1050</v>
      </c>
      <c r="B333" t="s">
        <v>186</v>
      </c>
      <c r="C333" t="s">
        <v>752</v>
      </c>
      <c r="D333" t="s">
        <v>744</v>
      </c>
    </row>
    <row r="334" spans="1:5" x14ac:dyDescent="0.25">
      <c r="A334" s="63" t="s">
        <v>1273</v>
      </c>
      <c r="B334" s="35" t="s">
        <v>1274</v>
      </c>
      <c r="C334" t="s">
        <v>254</v>
      </c>
      <c r="D334" s="35" t="s">
        <v>755</v>
      </c>
      <c r="E334" t="s">
        <v>16</v>
      </c>
    </row>
    <row r="335" spans="1:5" x14ac:dyDescent="0.25">
      <c r="A335" t="s">
        <v>1104</v>
      </c>
      <c r="B335" t="s">
        <v>604</v>
      </c>
      <c r="C335" t="s">
        <v>734</v>
      </c>
      <c r="D335" t="s">
        <v>735</v>
      </c>
    </row>
    <row r="336" spans="1:5" x14ac:dyDescent="0.25">
      <c r="A336" t="s">
        <v>1336</v>
      </c>
      <c r="B336" t="s">
        <v>556</v>
      </c>
      <c r="C336" t="s">
        <v>782</v>
      </c>
      <c r="D336" t="s">
        <v>780</v>
      </c>
    </row>
    <row r="337" spans="1:5" x14ac:dyDescent="0.25">
      <c r="A337" t="s">
        <v>975</v>
      </c>
      <c r="B337" t="s">
        <v>653</v>
      </c>
      <c r="C337" t="s">
        <v>906</v>
      </c>
      <c r="D337" t="s">
        <v>856</v>
      </c>
    </row>
    <row r="338" spans="1:5" x14ac:dyDescent="0.25">
      <c r="A338" t="s">
        <v>921</v>
      </c>
      <c r="B338" t="s">
        <v>413</v>
      </c>
      <c r="C338" t="s">
        <v>839</v>
      </c>
      <c r="D338" t="s">
        <v>728</v>
      </c>
    </row>
    <row r="339" spans="1:5" x14ac:dyDescent="0.25">
      <c r="A339" s="43" t="s">
        <v>1351</v>
      </c>
      <c r="B339" t="s">
        <v>648</v>
      </c>
      <c r="C339" t="s">
        <v>782</v>
      </c>
      <c r="D339" t="s">
        <v>780</v>
      </c>
    </row>
    <row r="340" spans="1:5" x14ac:dyDescent="0.25">
      <c r="A340" t="s">
        <v>1033</v>
      </c>
      <c r="B340" t="s">
        <v>1034</v>
      </c>
      <c r="C340" t="s">
        <v>890</v>
      </c>
      <c r="D340" t="s">
        <v>729</v>
      </c>
    </row>
    <row r="341" spans="1:5" x14ac:dyDescent="0.25">
      <c r="A341" t="s">
        <v>1097</v>
      </c>
      <c r="B341" s="35" t="s">
        <v>683</v>
      </c>
      <c r="C341" t="s">
        <v>254</v>
      </c>
      <c r="D341" s="35" t="s">
        <v>869</v>
      </c>
    </row>
    <row r="342" spans="1:5" x14ac:dyDescent="0.25">
      <c r="A342" t="s">
        <v>976</v>
      </c>
      <c r="B342" t="s">
        <v>644</v>
      </c>
      <c r="C342" t="s">
        <v>311</v>
      </c>
      <c r="D342" t="s">
        <v>755</v>
      </c>
      <c r="E342" t="s">
        <v>26</v>
      </c>
    </row>
    <row r="343" spans="1:5" x14ac:dyDescent="0.25">
      <c r="A343" t="s">
        <v>954</v>
      </c>
      <c r="B343" t="s">
        <v>660</v>
      </c>
      <c r="C343" t="s">
        <v>765</v>
      </c>
      <c r="D343" t="s">
        <v>735</v>
      </c>
    </row>
    <row r="344" spans="1:5" x14ac:dyDescent="0.25">
      <c r="A344" t="s">
        <v>1077</v>
      </c>
      <c r="B344" t="s">
        <v>499</v>
      </c>
      <c r="C344" t="s">
        <v>923</v>
      </c>
      <c r="D344" t="s">
        <v>831</v>
      </c>
    </row>
    <row r="345" spans="1:5" x14ac:dyDescent="0.25">
      <c r="A345" t="s">
        <v>918</v>
      </c>
      <c r="B345" t="s">
        <v>551</v>
      </c>
      <c r="C345" t="s">
        <v>914</v>
      </c>
      <c r="D345" t="s">
        <v>800</v>
      </c>
    </row>
    <row r="346" spans="1:5" x14ac:dyDescent="0.25">
      <c r="A346" s="43" t="s">
        <v>1347</v>
      </c>
      <c r="B346" t="s">
        <v>617</v>
      </c>
      <c r="C346" t="s">
        <v>734</v>
      </c>
      <c r="D346" t="s">
        <v>735</v>
      </c>
    </row>
    <row r="347" spans="1:5" x14ac:dyDescent="0.25">
      <c r="A347" t="s">
        <v>1073</v>
      </c>
      <c r="B347" t="s">
        <v>635</v>
      </c>
      <c r="C347" t="s">
        <v>254</v>
      </c>
      <c r="D347" t="s">
        <v>311</v>
      </c>
    </row>
    <row r="348" spans="1:5" x14ac:dyDescent="0.25">
      <c r="A348" t="s">
        <v>1039</v>
      </c>
      <c r="B348" t="s">
        <v>572</v>
      </c>
      <c r="C348" t="s">
        <v>254</v>
      </c>
      <c r="D348" t="s">
        <v>311</v>
      </c>
    </row>
    <row r="349" spans="1:5" x14ac:dyDescent="0.25">
      <c r="A349" t="s">
        <v>1173</v>
      </c>
      <c r="B349" t="s">
        <v>374</v>
      </c>
      <c r="C349" t="s">
        <v>731</v>
      </c>
      <c r="D349" t="s">
        <v>732</v>
      </c>
      <c r="E349" t="s">
        <v>26</v>
      </c>
    </row>
    <row r="350" spans="1:5" x14ac:dyDescent="0.25">
      <c r="A350" t="s">
        <v>1297</v>
      </c>
      <c r="B350" t="s">
        <v>220</v>
      </c>
      <c r="D350" t="s">
        <v>744</v>
      </c>
    </row>
    <row r="351" spans="1:5" x14ac:dyDescent="0.25">
      <c r="A351" t="s">
        <v>1252</v>
      </c>
      <c r="B351" t="s">
        <v>471</v>
      </c>
      <c r="C351" t="s">
        <v>731</v>
      </c>
      <c r="D351" t="s">
        <v>732</v>
      </c>
      <c r="E351" t="s">
        <v>26</v>
      </c>
    </row>
    <row r="352" spans="1:5" x14ac:dyDescent="0.25">
      <c r="A352" s="43" t="s">
        <v>1349</v>
      </c>
      <c r="B352" t="s">
        <v>472</v>
      </c>
      <c r="C352" t="s">
        <v>731</v>
      </c>
      <c r="D352" t="s">
        <v>732</v>
      </c>
      <c r="E352" t="s">
        <v>26</v>
      </c>
    </row>
    <row r="353" spans="1:5" x14ac:dyDescent="0.25">
      <c r="A353" t="s">
        <v>1043</v>
      </c>
      <c r="B353" t="s">
        <v>1044</v>
      </c>
      <c r="C353" t="s">
        <v>784</v>
      </c>
      <c r="D353" t="s">
        <v>784</v>
      </c>
      <c r="E353" t="s">
        <v>26</v>
      </c>
    </row>
    <row r="354" spans="1:5" x14ac:dyDescent="0.25">
      <c r="A354" t="s">
        <v>1165</v>
      </c>
      <c r="B354" t="s">
        <v>595</v>
      </c>
      <c r="C354" t="s">
        <v>731</v>
      </c>
      <c r="D354" t="s">
        <v>732</v>
      </c>
      <c r="E354" t="s">
        <v>26</v>
      </c>
    </row>
    <row r="355" spans="1:5" x14ac:dyDescent="0.25">
      <c r="A355" t="s">
        <v>1172</v>
      </c>
      <c r="B355" t="s">
        <v>425</v>
      </c>
      <c r="C355" t="s">
        <v>751</v>
      </c>
      <c r="D355" t="s">
        <v>752</v>
      </c>
      <c r="E355" t="s">
        <v>26</v>
      </c>
    </row>
    <row r="356" spans="1:5" x14ac:dyDescent="0.25">
      <c r="A356" t="s">
        <v>1311</v>
      </c>
      <c r="B356" t="s">
        <v>601</v>
      </c>
      <c r="C356" t="s">
        <v>311</v>
      </c>
      <c r="D356" t="s">
        <v>755</v>
      </c>
    </row>
    <row r="357" spans="1:5" x14ac:dyDescent="0.25">
      <c r="A357" t="s">
        <v>970</v>
      </c>
      <c r="B357" t="s">
        <v>429</v>
      </c>
      <c r="C357" t="s">
        <v>731</v>
      </c>
      <c r="D357" t="s">
        <v>744</v>
      </c>
      <c r="E357" t="s">
        <v>26</v>
      </c>
    </row>
    <row r="358" spans="1:5" x14ac:dyDescent="0.25">
      <c r="A358" t="s">
        <v>1125</v>
      </c>
      <c r="B358" t="s">
        <v>283</v>
      </c>
      <c r="C358" t="s">
        <v>1121</v>
      </c>
      <c r="D358" t="s">
        <v>755</v>
      </c>
      <c r="E358" t="s">
        <v>26</v>
      </c>
    </row>
    <row r="359" spans="1:5" x14ac:dyDescent="0.25">
      <c r="A359" t="s">
        <v>1237</v>
      </c>
      <c r="B359" t="s">
        <v>395</v>
      </c>
      <c r="C359" t="s">
        <v>788</v>
      </c>
      <c r="D359" t="s">
        <v>735</v>
      </c>
    </row>
    <row r="360" spans="1:5" x14ac:dyDescent="0.25">
      <c r="A360" t="s">
        <v>1212</v>
      </c>
      <c r="B360" t="s">
        <v>577</v>
      </c>
      <c r="C360" t="s">
        <v>731</v>
      </c>
      <c r="D360" t="s">
        <v>732</v>
      </c>
      <c r="E360" t="s">
        <v>26</v>
      </c>
    </row>
    <row r="361" spans="1:5" x14ac:dyDescent="0.25">
      <c r="A361" t="s">
        <v>1330</v>
      </c>
      <c r="B361" t="s">
        <v>1331</v>
      </c>
      <c r="C361" t="s">
        <v>742</v>
      </c>
      <c r="D361" t="s">
        <v>740</v>
      </c>
    </row>
    <row r="362" spans="1:5" x14ac:dyDescent="0.25">
      <c r="A362" t="s">
        <v>1250</v>
      </c>
      <c r="B362" t="s">
        <v>662</v>
      </c>
      <c r="C362" t="s">
        <v>751</v>
      </c>
      <c r="D362" t="s">
        <v>752</v>
      </c>
      <c r="E362" t="s">
        <v>26</v>
      </c>
    </row>
    <row r="363" spans="1:5" x14ac:dyDescent="0.25">
      <c r="A363" t="s">
        <v>1309</v>
      </c>
      <c r="B363" t="s">
        <v>549</v>
      </c>
      <c r="C363" t="s">
        <v>788</v>
      </c>
      <c r="D363" t="s">
        <v>735</v>
      </c>
    </row>
    <row r="364" spans="1:5" x14ac:dyDescent="0.25">
      <c r="A364" t="s">
        <v>1279</v>
      </c>
      <c r="B364" t="s">
        <v>642</v>
      </c>
      <c r="C364" t="s">
        <v>742</v>
      </c>
      <c r="D364" t="s">
        <v>740</v>
      </c>
    </row>
    <row r="365" spans="1:5" x14ac:dyDescent="0.25">
      <c r="A365" t="s">
        <v>1117</v>
      </c>
      <c r="B365" t="s">
        <v>345</v>
      </c>
      <c r="C365" t="s">
        <v>742</v>
      </c>
      <c r="D365" t="s">
        <v>740</v>
      </c>
    </row>
    <row r="366" spans="1:5" x14ac:dyDescent="0.25">
      <c r="A366" t="s">
        <v>1223</v>
      </c>
      <c r="B366" t="s">
        <v>609</v>
      </c>
      <c r="C366" t="s">
        <v>254</v>
      </c>
      <c r="D366" t="s">
        <v>755</v>
      </c>
      <c r="E366" t="s">
        <v>26</v>
      </c>
    </row>
    <row r="367" spans="1:5" x14ac:dyDescent="0.25">
      <c r="A367" t="s">
        <v>1211</v>
      </c>
      <c r="B367" t="s">
        <v>672</v>
      </c>
      <c r="C367" t="s">
        <v>731</v>
      </c>
      <c r="D367" t="s">
        <v>744</v>
      </c>
      <c r="E367" t="s">
        <v>26</v>
      </c>
    </row>
    <row r="368" spans="1:5" x14ac:dyDescent="0.25">
      <c r="A368" t="s">
        <v>1166</v>
      </c>
      <c r="B368" t="s">
        <v>1167</v>
      </c>
      <c r="C368" t="s">
        <v>734</v>
      </c>
      <c r="D368" t="s">
        <v>735</v>
      </c>
    </row>
    <row r="369" spans="1:5" x14ac:dyDescent="0.25">
      <c r="A369" t="s">
        <v>1200</v>
      </c>
      <c r="B369" t="s">
        <v>419</v>
      </c>
      <c r="C369" t="s">
        <v>731</v>
      </c>
      <c r="D369" t="s">
        <v>732</v>
      </c>
      <c r="E369" t="s">
        <v>26</v>
      </c>
    </row>
    <row r="370" spans="1:5" x14ac:dyDescent="0.25">
      <c r="A370" t="s">
        <v>1214</v>
      </c>
      <c r="B370" t="s">
        <v>421</v>
      </c>
      <c r="C370" t="s">
        <v>923</v>
      </c>
      <c r="D370" t="s">
        <v>831</v>
      </c>
    </row>
    <row r="371" spans="1:5" x14ac:dyDescent="0.25">
      <c r="A371" t="s">
        <v>1126</v>
      </c>
      <c r="B371" t="s">
        <v>484</v>
      </c>
      <c r="C371" t="s">
        <v>923</v>
      </c>
      <c r="D371" t="s">
        <v>831</v>
      </c>
    </row>
    <row r="372" spans="1:5" x14ac:dyDescent="0.25">
      <c r="A372" t="s">
        <v>950</v>
      </c>
      <c r="B372" t="s">
        <v>462</v>
      </c>
      <c r="C372" t="s">
        <v>731</v>
      </c>
      <c r="D372" t="s">
        <v>744</v>
      </c>
      <c r="E372" t="s">
        <v>26</v>
      </c>
    </row>
    <row r="373" spans="1:5" x14ac:dyDescent="0.25">
      <c r="A373" t="s">
        <v>1017</v>
      </c>
      <c r="B373" t="s">
        <v>449</v>
      </c>
      <c r="C373" t="s">
        <v>311</v>
      </c>
      <c r="D373" t="s">
        <v>755</v>
      </c>
      <c r="E373" t="s">
        <v>26</v>
      </c>
    </row>
    <row r="374" spans="1:5" x14ac:dyDescent="0.25">
      <c r="A374" s="43" t="s">
        <v>895</v>
      </c>
      <c r="B374" t="s">
        <v>675</v>
      </c>
      <c r="C374" t="s">
        <v>844</v>
      </c>
      <c r="D374" t="s">
        <v>785</v>
      </c>
      <c r="E374" t="s">
        <v>26</v>
      </c>
    </row>
    <row r="375" spans="1:5" x14ac:dyDescent="0.25">
      <c r="A375" t="s">
        <v>925</v>
      </c>
      <c r="B375" t="s">
        <v>356</v>
      </c>
      <c r="C375" t="s">
        <v>731</v>
      </c>
      <c r="D375" t="s">
        <v>732</v>
      </c>
      <c r="E375" t="s">
        <v>26</v>
      </c>
    </row>
    <row r="376" spans="1:5" x14ac:dyDescent="0.25">
      <c r="A376" t="s">
        <v>1299</v>
      </c>
      <c r="B376" t="s">
        <v>320</v>
      </c>
      <c r="C376" t="s">
        <v>973</v>
      </c>
      <c r="D376" t="s">
        <v>812</v>
      </c>
    </row>
    <row r="377" spans="1:5" x14ac:dyDescent="0.25">
      <c r="A377" t="s">
        <v>1191</v>
      </c>
      <c r="B377" t="s">
        <v>409</v>
      </c>
      <c r="C377" t="s">
        <v>728</v>
      </c>
      <c r="D377" t="s">
        <v>728</v>
      </c>
    </row>
    <row r="378" spans="1:5" x14ac:dyDescent="0.25">
      <c r="A378" t="s">
        <v>1193</v>
      </c>
      <c r="B378" t="s">
        <v>402</v>
      </c>
      <c r="C378" t="s">
        <v>742</v>
      </c>
      <c r="D378" t="s">
        <v>740</v>
      </c>
    </row>
    <row r="379" spans="1:5" x14ac:dyDescent="0.25">
      <c r="A379" t="s">
        <v>941</v>
      </c>
      <c r="B379" t="s">
        <v>942</v>
      </c>
      <c r="C379" t="s">
        <v>906</v>
      </c>
      <c r="D379" t="s">
        <v>856</v>
      </c>
    </row>
    <row r="380" spans="1:5" x14ac:dyDescent="0.25">
      <c r="A380" t="s">
        <v>1337</v>
      </c>
      <c r="B380" t="s">
        <v>1338</v>
      </c>
      <c r="C380" t="s">
        <v>311</v>
      </c>
      <c r="D380" t="s">
        <v>755</v>
      </c>
    </row>
    <row r="381" spans="1:5" x14ac:dyDescent="0.25">
      <c r="A381" t="s">
        <v>1151</v>
      </c>
      <c r="B381" t="s">
        <v>605</v>
      </c>
      <c r="C381" t="s">
        <v>1152</v>
      </c>
      <c r="D381" t="s">
        <v>740</v>
      </c>
    </row>
    <row r="382" spans="1:5" x14ac:dyDescent="0.25">
      <c r="A382" t="s">
        <v>1170</v>
      </c>
      <c r="B382" t="s">
        <v>1171</v>
      </c>
      <c r="C382" t="s">
        <v>311</v>
      </c>
      <c r="D382" t="s">
        <v>755</v>
      </c>
      <c r="E382" t="s">
        <v>26</v>
      </c>
    </row>
    <row r="383" spans="1:5" x14ac:dyDescent="0.25">
      <c r="A383" t="s">
        <v>1316</v>
      </c>
      <c r="B383" t="s">
        <v>1317</v>
      </c>
      <c r="C383" t="s">
        <v>807</v>
      </c>
      <c r="D383" t="s">
        <v>735</v>
      </c>
    </row>
    <row r="384" spans="1:5" x14ac:dyDescent="0.25">
      <c r="A384" t="s">
        <v>1286</v>
      </c>
      <c r="B384" t="s">
        <v>1287</v>
      </c>
      <c r="C384" t="s">
        <v>1135</v>
      </c>
      <c r="D384" t="s">
        <v>740</v>
      </c>
    </row>
    <row r="385" spans="1:5" x14ac:dyDescent="0.25">
      <c r="A385" t="s">
        <v>1143</v>
      </c>
      <c r="B385" t="s">
        <v>547</v>
      </c>
      <c r="C385" t="s">
        <v>751</v>
      </c>
      <c r="D385" t="s">
        <v>752</v>
      </c>
    </row>
    <row r="386" spans="1:5" x14ac:dyDescent="0.25">
      <c r="A386" s="43" t="s">
        <v>1344</v>
      </c>
      <c r="B386" t="s">
        <v>536</v>
      </c>
      <c r="C386" t="s">
        <v>751</v>
      </c>
      <c r="D386" t="s">
        <v>752</v>
      </c>
      <c r="E386" t="s">
        <v>26</v>
      </c>
    </row>
    <row r="387" spans="1:5" x14ac:dyDescent="0.25">
      <c r="A387" s="43" t="s">
        <v>897</v>
      </c>
      <c r="B387" t="s">
        <v>541</v>
      </c>
      <c r="C387" t="s">
        <v>731</v>
      </c>
      <c r="D387" t="s">
        <v>744</v>
      </c>
      <c r="E387" t="s">
        <v>26</v>
      </c>
    </row>
    <row r="388" spans="1:5" x14ac:dyDescent="0.25">
      <c r="A388" t="s">
        <v>1021</v>
      </c>
      <c r="B388" t="s">
        <v>603</v>
      </c>
      <c r="C388" t="s">
        <v>831</v>
      </c>
      <c r="D388" t="s">
        <v>740</v>
      </c>
    </row>
    <row r="389" spans="1:5" x14ac:dyDescent="0.25">
      <c r="A389" t="s">
        <v>1029</v>
      </c>
      <c r="B389" t="s">
        <v>1030</v>
      </c>
      <c r="C389" t="s">
        <v>798</v>
      </c>
      <c r="D389" t="s">
        <v>740</v>
      </c>
    </row>
    <row r="390" spans="1:5" x14ac:dyDescent="0.25">
      <c r="A390" t="s">
        <v>1127</v>
      </c>
      <c r="B390" t="s">
        <v>325</v>
      </c>
      <c r="C390" t="s">
        <v>751</v>
      </c>
      <c r="D390" t="s">
        <v>752</v>
      </c>
      <c r="E390" t="s">
        <v>26</v>
      </c>
    </row>
    <row r="391" spans="1:5" x14ac:dyDescent="0.25">
      <c r="A391" t="s">
        <v>1179</v>
      </c>
      <c r="B391" t="s">
        <v>411</v>
      </c>
      <c r="C391" t="s">
        <v>254</v>
      </c>
      <c r="D391" t="s">
        <v>311</v>
      </c>
    </row>
    <row r="392" spans="1:5" x14ac:dyDescent="0.25">
      <c r="A392" t="s">
        <v>1284</v>
      </c>
      <c r="B392" t="s">
        <v>569</v>
      </c>
      <c r="C392" t="s">
        <v>1285</v>
      </c>
      <c r="D392" t="s">
        <v>812</v>
      </c>
    </row>
    <row r="393" spans="1:5" x14ac:dyDescent="0.25">
      <c r="A393" t="s">
        <v>1231</v>
      </c>
      <c r="B393" t="s">
        <v>475</v>
      </c>
      <c r="C393" t="s">
        <v>1135</v>
      </c>
      <c r="D393" t="s">
        <v>740</v>
      </c>
    </row>
    <row r="394" spans="1:5" x14ac:dyDescent="0.25">
      <c r="A394" s="43" t="s">
        <v>903</v>
      </c>
      <c r="B394" t="s">
        <v>904</v>
      </c>
      <c r="C394" t="s">
        <v>254</v>
      </c>
      <c r="D394" t="s">
        <v>311</v>
      </c>
    </row>
    <row r="395" spans="1:5" x14ac:dyDescent="0.25">
      <c r="A395" t="s">
        <v>1049</v>
      </c>
      <c r="B395" t="s">
        <v>372</v>
      </c>
      <c r="C395" t="s">
        <v>751</v>
      </c>
      <c r="D395" t="s">
        <v>752</v>
      </c>
      <c r="E395" t="s">
        <v>26</v>
      </c>
    </row>
    <row r="396" spans="1:5" x14ac:dyDescent="0.25">
      <c r="A396" t="s">
        <v>1202</v>
      </c>
      <c r="B396" t="s">
        <v>440</v>
      </c>
      <c r="C396" t="s">
        <v>731</v>
      </c>
      <c r="D396" t="s">
        <v>732</v>
      </c>
      <c r="E396" t="s">
        <v>26</v>
      </c>
    </row>
    <row r="397" spans="1:5" x14ac:dyDescent="0.25">
      <c r="A397" t="s">
        <v>1175</v>
      </c>
      <c r="B397" t="s">
        <v>639</v>
      </c>
      <c r="C397" t="s">
        <v>254</v>
      </c>
      <c r="D397" t="s">
        <v>755</v>
      </c>
      <c r="E397" t="s">
        <v>26</v>
      </c>
    </row>
    <row r="398" spans="1:5" x14ac:dyDescent="0.25">
      <c r="A398" t="s">
        <v>1023</v>
      </c>
      <c r="B398" t="s">
        <v>1024</v>
      </c>
      <c r="C398" t="s">
        <v>311</v>
      </c>
      <c r="D398" t="s">
        <v>755</v>
      </c>
      <c r="E398" t="s">
        <v>26</v>
      </c>
    </row>
    <row r="399" spans="1:5" x14ac:dyDescent="0.25">
      <c r="A399" t="s">
        <v>1090</v>
      </c>
      <c r="B399" t="s">
        <v>437</v>
      </c>
      <c r="C399" t="s">
        <v>997</v>
      </c>
      <c r="D399" t="s">
        <v>775</v>
      </c>
    </row>
    <row r="400" spans="1:5" x14ac:dyDescent="0.25">
      <c r="A400" t="s">
        <v>982</v>
      </c>
      <c r="B400" t="s">
        <v>464</v>
      </c>
      <c r="C400" t="s">
        <v>742</v>
      </c>
      <c r="D400" t="s">
        <v>740</v>
      </c>
    </row>
    <row r="401" spans="1:5" x14ac:dyDescent="0.25">
      <c r="A401" t="s">
        <v>965</v>
      </c>
      <c r="B401" t="s">
        <v>966</v>
      </c>
      <c r="C401" t="s">
        <v>731</v>
      </c>
      <c r="D401" t="s">
        <v>732</v>
      </c>
      <c r="E401" t="s">
        <v>26</v>
      </c>
    </row>
    <row r="402" spans="1:5" x14ac:dyDescent="0.25">
      <c r="A402" t="s">
        <v>1230</v>
      </c>
      <c r="B402" t="s">
        <v>637</v>
      </c>
      <c r="C402" t="s">
        <v>254</v>
      </c>
      <c r="D402" t="s">
        <v>755</v>
      </c>
      <c r="E402" t="s">
        <v>26</v>
      </c>
    </row>
    <row r="403" spans="1:5" x14ac:dyDescent="0.25">
      <c r="A403" t="s">
        <v>1159</v>
      </c>
      <c r="B403" t="s">
        <v>597</v>
      </c>
      <c r="C403" t="s">
        <v>798</v>
      </c>
      <c r="D403" t="s">
        <v>740</v>
      </c>
    </row>
    <row r="404" spans="1:5" x14ac:dyDescent="0.25">
      <c r="A404" t="s">
        <v>958</v>
      </c>
      <c r="B404" t="s">
        <v>578</v>
      </c>
      <c r="C404" t="s">
        <v>774</v>
      </c>
      <c r="D404" t="s">
        <v>775</v>
      </c>
    </row>
    <row r="405" spans="1:5" x14ac:dyDescent="0.25">
      <c r="A405" t="s">
        <v>1323</v>
      </c>
      <c r="B405" t="s">
        <v>171</v>
      </c>
      <c r="C405" t="s">
        <v>1124</v>
      </c>
      <c r="D405" t="s">
        <v>740</v>
      </c>
    </row>
    <row r="406" spans="1:5" x14ac:dyDescent="0.25">
      <c r="A406" t="s">
        <v>995</v>
      </c>
      <c r="B406" s="35" t="s">
        <v>668</v>
      </c>
      <c r="C406" t="s">
        <v>105</v>
      </c>
      <c r="D406" s="35" t="s">
        <v>245</v>
      </c>
    </row>
    <row r="407" spans="1:5" x14ac:dyDescent="0.25">
      <c r="A407" s="63" t="s">
        <v>985</v>
      </c>
      <c r="B407" s="45" t="s">
        <v>986</v>
      </c>
      <c r="C407" t="s">
        <v>254</v>
      </c>
      <c r="D407" s="35" t="s">
        <v>755</v>
      </c>
      <c r="E407" t="s">
        <v>16</v>
      </c>
    </row>
    <row r="408" spans="1:5" x14ac:dyDescent="0.25">
      <c r="A408" t="s">
        <v>1163</v>
      </c>
      <c r="B408" t="s">
        <v>1164</v>
      </c>
      <c r="C408" t="s">
        <v>746</v>
      </c>
      <c r="D408" t="s">
        <v>740</v>
      </c>
    </row>
    <row r="409" spans="1:5" x14ac:dyDescent="0.25">
      <c r="A409" t="s">
        <v>1176</v>
      </c>
      <c r="B409" t="s">
        <v>640</v>
      </c>
      <c r="C409" t="s">
        <v>1177</v>
      </c>
      <c r="D409" t="s">
        <v>784</v>
      </c>
    </row>
    <row r="410" spans="1:5" x14ac:dyDescent="0.25">
      <c r="A410" t="s">
        <v>992</v>
      </c>
      <c r="B410" t="s">
        <v>239</v>
      </c>
      <c r="C410" t="s">
        <v>798</v>
      </c>
      <c r="D410" t="s">
        <v>740</v>
      </c>
    </row>
    <row r="411" spans="1:5" x14ac:dyDescent="0.25">
      <c r="A411" s="41" t="s">
        <v>957</v>
      </c>
      <c r="B411" s="35" t="s">
        <v>208</v>
      </c>
      <c r="C411" t="s">
        <v>757</v>
      </c>
      <c r="D411" s="35" t="s">
        <v>729</v>
      </c>
    </row>
    <row r="412" spans="1:5" x14ac:dyDescent="0.25">
      <c r="A412" t="s">
        <v>1272</v>
      </c>
      <c r="B412" t="s">
        <v>376</v>
      </c>
      <c r="C412" t="s">
        <v>731</v>
      </c>
      <c r="D412" t="s">
        <v>732</v>
      </c>
      <c r="E412" t="s">
        <v>26</v>
      </c>
    </row>
    <row r="413" spans="1:5" x14ac:dyDescent="0.25">
      <c r="A413" t="s">
        <v>1103</v>
      </c>
      <c r="B413" t="s">
        <v>589</v>
      </c>
      <c r="C413" t="s">
        <v>742</v>
      </c>
      <c r="D413" t="s">
        <v>740</v>
      </c>
    </row>
    <row r="414" spans="1:5" x14ac:dyDescent="0.25">
      <c r="A414" t="s">
        <v>944</v>
      </c>
      <c r="B414" t="s">
        <v>564</v>
      </c>
      <c r="C414" t="s">
        <v>765</v>
      </c>
      <c r="D414" t="s">
        <v>735</v>
      </c>
    </row>
    <row r="415" spans="1:5" x14ac:dyDescent="0.25">
      <c r="A415" t="s">
        <v>913</v>
      </c>
      <c r="B415" t="s">
        <v>177</v>
      </c>
      <c r="C415" t="s">
        <v>914</v>
      </c>
      <c r="D415" t="s">
        <v>744</v>
      </c>
    </row>
    <row r="416" spans="1:5" x14ac:dyDescent="0.25">
      <c r="A416" t="s">
        <v>1307</v>
      </c>
      <c r="B416" t="s">
        <v>436</v>
      </c>
      <c r="C416" t="s">
        <v>807</v>
      </c>
      <c r="D416" t="s">
        <v>735</v>
      </c>
    </row>
    <row r="417" spans="1:5" x14ac:dyDescent="0.25">
      <c r="A417" t="s">
        <v>1332</v>
      </c>
      <c r="B417" t="s">
        <v>594</v>
      </c>
      <c r="C417" t="s">
        <v>254</v>
      </c>
      <c r="D417" t="s">
        <v>755</v>
      </c>
    </row>
    <row r="418" spans="1:5" x14ac:dyDescent="0.25">
      <c r="A418" t="s">
        <v>1001</v>
      </c>
      <c r="B418" t="s">
        <v>533</v>
      </c>
      <c r="C418" t="s">
        <v>774</v>
      </c>
      <c r="D418" t="s">
        <v>856</v>
      </c>
    </row>
    <row r="419" spans="1:5" x14ac:dyDescent="0.25">
      <c r="A419" t="s">
        <v>1201</v>
      </c>
      <c r="B419" t="s">
        <v>482</v>
      </c>
      <c r="C419" t="s">
        <v>782</v>
      </c>
      <c r="D419" t="s">
        <v>780</v>
      </c>
    </row>
    <row r="420" spans="1:5" x14ac:dyDescent="0.25">
      <c r="A420" t="s">
        <v>983</v>
      </c>
      <c r="B420" t="s">
        <v>386</v>
      </c>
      <c r="C420" t="s">
        <v>731</v>
      </c>
      <c r="D420" t="s">
        <v>732</v>
      </c>
      <c r="E420" t="s">
        <v>26</v>
      </c>
    </row>
    <row r="421" spans="1:5" x14ac:dyDescent="0.25">
      <c r="A421" s="43" t="s">
        <v>1343</v>
      </c>
      <c r="B421" t="s">
        <v>379</v>
      </c>
      <c r="C421" t="s">
        <v>723</v>
      </c>
      <c r="D421" t="s">
        <v>762</v>
      </c>
    </row>
    <row r="422" spans="1:5" x14ac:dyDescent="0.25">
      <c r="A422" t="s">
        <v>1292</v>
      </c>
      <c r="B422" t="s">
        <v>414</v>
      </c>
      <c r="C422" t="s">
        <v>742</v>
      </c>
      <c r="D422" t="s">
        <v>740</v>
      </c>
      <c r="E422" t="s">
        <v>16</v>
      </c>
    </row>
    <row r="423" spans="1:5" x14ac:dyDescent="0.25">
      <c r="A423" t="s">
        <v>1106</v>
      </c>
      <c r="B423" t="s">
        <v>1107</v>
      </c>
      <c r="C423" t="s">
        <v>254</v>
      </c>
      <c r="D423" t="s">
        <v>311</v>
      </c>
    </row>
    <row r="424" spans="1:5" x14ac:dyDescent="0.25">
      <c r="A424" t="s">
        <v>1259</v>
      </c>
      <c r="B424" t="s">
        <v>1260</v>
      </c>
      <c r="C424" t="s">
        <v>731</v>
      </c>
      <c r="D424" t="s">
        <v>744</v>
      </c>
      <c r="E424" t="s">
        <v>26</v>
      </c>
    </row>
    <row r="425" spans="1:5" x14ac:dyDescent="0.25">
      <c r="A425" t="s">
        <v>1008</v>
      </c>
      <c r="B425" t="s">
        <v>380</v>
      </c>
      <c r="C425" t="s">
        <v>863</v>
      </c>
      <c r="D425" t="s">
        <v>775</v>
      </c>
    </row>
    <row r="426" spans="1:5" x14ac:dyDescent="0.25">
      <c r="A426" t="s">
        <v>1310</v>
      </c>
      <c r="B426" t="s">
        <v>385</v>
      </c>
      <c r="C426" t="s">
        <v>731</v>
      </c>
      <c r="D426" t="s">
        <v>732</v>
      </c>
      <c r="E426" t="s">
        <v>26</v>
      </c>
    </row>
    <row r="427" spans="1:5" x14ac:dyDescent="0.25">
      <c r="A427" t="s">
        <v>1221</v>
      </c>
      <c r="B427" t="s">
        <v>521</v>
      </c>
      <c r="C427" t="s">
        <v>739</v>
      </c>
      <c r="D427" t="s">
        <v>740</v>
      </c>
    </row>
    <row r="428" spans="1:5" x14ac:dyDescent="0.25">
      <c r="A428" t="s">
        <v>1270</v>
      </c>
      <c r="B428" t="s">
        <v>1271</v>
      </c>
      <c r="C428" t="s">
        <v>254</v>
      </c>
      <c r="D428" t="s">
        <v>755</v>
      </c>
      <c r="E428" t="s">
        <v>26</v>
      </c>
    </row>
    <row r="429" spans="1:5" x14ac:dyDescent="0.25">
      <c r="A429" t="s">
        <v>1156</v>
      </c>
      <c r="B429" t="s">
        <v>438</v>
      </c>
      <c r="C429" t="s">
        <v>742</v>
      </c>
      <c r="D429" t="s">
        <v>740</v>
      </c>
    </row>
    <row r="430" spans="1:5" x14ac:dyDescent="0.25">
      <c r="A430" t="s">
        <v>1206</v>
      </c>
      <c r="B430" t="s">
        <v>333</v>
      </c>
      <c r="C430" t="s">
        <v>739</v>
      </c>
      <c r="D430" t="s">
        <v>740</v>
      </c>
    </row>
    <row r="431" spans="1:5" x14ac:dyDescent="0.25">
      <c r="A431" t="s">
        <v>1150</v>
      </c>
      <c r="B431" t="s">
        <v>455</v>
      </c>
      <c r="C431" t="s">
        <v>311</v>
      </c>
      <c r="D431" t="s">
        <v>755</v>
      </c>
      <c r="E431" t="s">
        <v>26</v>
      </c>
    </row>
    <row r="432" spans="1:5" x14ac:dyDescent="0.25">
      <c r="A432" t="s">
        <v>1032</v>
      </c>
      <c r="B432" t="s">
        <v>329</v>
      </c>
      <c r="C432" t="s">
        <v>742</v>
      </c>
      <c r="D432" t="s">
        <v>740</v>
      </c>
    </row>
    <row r="433" spans="1:5" x14ac:dyDescent="0.25">
      <c r="A433" t="s">
        <v>1291</v>
      </c>
      <c r="B433" t="s">
        <v>360</v>
      </c>
      <c r="C433" t="s">
        <v>798</v>
      </c>
      <c r="D433" t="s">
        <v>740</v>
      </c>
    </row>
    <row r="434" spans="1:5" x14ac:dyDescent="0.25">
      <c r="A434" t="s">
        <v>910</v>
      </c>
      <c r="B434" t="s">
        <v>191</v>
      </c>
      <c r="C434" t="s">
        <v>911</v>
      </c>
      <c r="D434" t="s">
        <v>744</v>
      </c>
    </row>
    <row r="435" spans="1:5" x14ac:dyDescent="0.25">
      <c r="A435" t="s">
        <v>1115</v>
      </c>
      <c r="B435" t="s">
        <v>393</v>
      </c>
      <c r="C435" t="s">
        <v>311</v>
      </c>
      <c r="D435" t="s">
        <v>755</v>
      </c>
      <c r="E435" t="s">
        <v>26</v>
      </c>
    </row>
    <row r="436" spans="1:5" x14ac:dyDescent="0.25">
      <c r="A436" t="s">
        <v>938</v>
      </c>
      <c r="B436" t="s">
        <v>939</v>
      </c>
      <c r="C436" t="s">
        <v>765</v>
      </c>
      <c r="D436" t="s">
        <v>735</v>
      </c>
    </row>
    <row r="437" spans="1:5" x14ac:dyDescent="0.25">
      <c r="A437" t="s">
        <v>1145</v>
      </c>
      <c r="B437" t="s">
        <v>510</v>
      </c>
      <c r="C437" t="s">
        <v>731</v>
      </c>
      <c r="D437" t="s">
        <v>732</v>
      </c>
      <c r="E437" t="s">
        <v>26</v>
      </c>
    </row>
    <row r="438" spans="1:5" x14ac:dyDescent="0.25">
      <c r="A438" t="s">
        <v>53</v>
      </c>
      <c r="B438" t="s">
        <v>17</v>
      </c>
      <c r="D438" t="s">
        <v>744</v>
      </c>
    </row>
    <row r="439" spans="1:5" x14ac:dyDescent="0.25">
      <c r="A439" t="s">
        <v>1240</v>
      </c>
      <c r="B439" s="35" t="s">
        <v>629</v>
      </c>
      <c r="D439" s="35" t="s">
        <v>869</v>
      </c>
    </row>
    <row r="440" spans="1:5" x14ac:dyDescent="0.25">
      <c r="A440" t="s">
        <v>1180</v>
      </c>
      <c r="B440" t="s">
        <v>384</v>
      </c>
      <c r="C440" t="s">
        <v>782</v>
      </c>
      <c r="D440" t="s">
        <v>780</v>
      </c>
    </row>
    <row r="441" spans="1:5" x14ac:dyDescent="0.25">
      <c r="A441" t="s">
        <v>946</v>
      </c>
      <c r="B441" t="s">
        <v>225</v>
      </c>
      <c r="C441" t="s">
        <v>817</v>
      </c>
      <c r="D441" t="s">
        <v>869</v>
      </c>
    </row>
    <row r="442" spans="1:5" x14ac:dyDescent="0.25">
      <c r="A442" t="s">
        <v>967</v>
      </c>
      <c r="B442" t="s">
        <v>508</v>
      </c>
      <c r="C442" t="s">
        <v>798</v>
      </c>
      <c r="D442" t="s">
        <v>740</v>
      </c>
    </row>
    <row r="443" spans="1:5" x14ac:dyDescent="0.25">
      <c r="A443" t="s">
        <v>1022</v>
      </c>
      <c r="B443" t="s">
        <v>319</v>
      </c>
      <c r="C443" t="s">
        <v>774</v>
      </c>
      <c r="D443" t="s">
        <v>856</v>
      </c>
    </row>
    <row r="444" spans="1:5" x14ac:dyDescent="0.25">
      <c r="A444" t="s">
        <v>1122</v>
      </c>
      <c r="B444" t="s">
        <v>346</v>
      </c>
      <c r="C444" t="s">
        <v>742</v>
      </c>
      <c r="D444" t="s">
        <v>740</v>
      </c>
    </row>
    <row r="445" spans="1:5" ht="15" customHeight="1" x14ac:dyDescent="0.25">
      <c r="A445" s="43" t="s">
        <v>1348</v>
      </c>
      <c r="B445" t="s">
        <v>463</v>
      </c>
      <c r="C445" t="s">
        <v>765</v>
      </c>
      <c r="D445" t="s">
        <v>735</v>
      </c>
    </row>
    <row r="446" spans="1:5" ht="15" customHeight="1" x14ac:dyDescent="0.25">
      <c r="A446" t="s">
        <v>1216</v>
      </c>
      <c r="B446" t="s">
        <v>548</v>
      </c>
      <c r="C446" t="s">
        <v>746</v>
      </c>
      <c r="D446" t="s">
        <v>740</v>
      </c>
    </row>
    <row r="447" spans="1:5" ht="15" customHeight="1" x14ac:dyDescent="0.25">
      <c r="A447" t="s">
        <v>1199</v>
      </c>
      <c r="B447" t="s">
        <v>500</v>
      </c>
      <c r="C447" t="s">
        <v>784</v>
      </c>
      <c r="D447" t="s">
        <v>784</v>
      </c>
      <c r="E447" t="s">
        <v>26</v>
      </c>
    </row>
    <row r="448" spans="1:5" ht="15" customHeight="1" x14ac:dyDescent="0.25">
      <c r="A448" t="s">
        <v>322</v>
      </c>
      <c r="B448" t="s">
        <v>417</v>
      </c>
    </row>
    <row r="449" spans="1:5" ht="15" customHeight="1" x14ac:dyDescent="0.25">
      <c r="A449" t="s">
        <v>120</v>
      </c>
      <c r="B449" t="s">
        <v>120</v>
      </c>
      <c r="D449" t="s">
        <v>778</v>
      </c>
    </row>
    <row r="450" spans="1:5" ht="15" customHeight="1" x14ac:dyDescent="0.25">
      <c r="A450" t="s">
        <v>113</v>
      </c>
      <c r="B450" t="s">
        <v>113</v>
      </c>
      <c r="E450" t="s">
        <v>16</v>
      </c>
    </row>
    <row r="451" spans="1:5" ht="15" customHeight="1" x14ac:dyDescent="0.25">
      <c r="A451" t="s">
        <v>1262</v>
      </c>
      <c r="B451" t="s">
        <v>350</v>
      </c>
      <c r="C451" t="s">
        <v>1263</v>
      </c>
      <c r="D451" t="s">
        <v>755</v>
      </c>
      <c r="E451" t="s">
        <v>26</v>
      </c>
    </row>
    <row r="452" spans="1:5" ht="15" customHeight="1" x14ac:dyDescent="0.25">
      <c r="A452" t="s">
        <v>1082</v>
      </c>
      <c r="B452" t="s">
        <v>447</v>
      </c>
      <c r="C452" t="s">
        <v>1083</v>
      </c>
      <c r="D452" t="s">
        <v>1084</v>
      </c>
    </row>
    <row r="453" spans="1:5" ht="15" customHeight="1" x14ac:dyDescent="0.25">
      <c r="A453" t="s">
        <v>654</v>
      </c>
      <c r="B453" t="s">
        <v>654</v>
      </c>
      <c r="D453" s="35" t="s">
        <v>63</v>
      </c>
    </row>
    <row r="454" spans="1:5" ht="15" customHeight="1" x14ac:dyDescent="0.25">
      <c r="A454" t="s">
        <v>50</v>
      </c>
      <c r="B454" t="s">
        <v>50</v>
      </c>
    </row>
    <row r="455" spans="1:5" ht="15" customHeight="1" x14ac:dyDescent="0.25">
      <c r="A455" t="s">
        <v>691</v>
      </c>
      <c r="B455" s="35" t="s">
        <v>691</v>
      </c>
      <c r="D455" s="35"/>
    </row>
    <row r="456" spans="1:5" ht="15" customHeight="1" x14ac:dyDescent="0.25">
      <c r="A456" t="s">
        <v>1242</v>
      </c>
      <c r="B456" t="s">
        <v>328</v>
      </c>
      <c r="C456" t="s">
        <v>782</v>
      </c>
      <c r="D456" t="s">
        <v>780</v>
      </c>
    </row>
    <row r="457" spans="1:5" ht="15" customHeight="1" x14ac:dyDescent="0.25">
      <c r="A457" t="s">
        <v>961</v>
      </c>
      <c r="B457" t="s">
        <v>962</v>
      </c>
      <c r="C457" t="s">
        <v>807</v>
      </c>
      <c r="D457" t="s">
        <v>735</v>
      </c>
    </row>
    <row r="458" spans="1:5" ht="15" customHeight="1" x14ac:dyDescent="0.25">
      <c r="A458" t="s">
        <v>1197</v>
      </c>
      <c r="B458" t="s">
        <v>1198</v>
      </c>
      <c r="C458" t="s">
        <v>1048</v>
      </c>
      <c r="D458" t="s">
        <v>755</v>
      </c>
      <c r="E458" t="s">
        <v>26</v>
      </c>
    </row>
    <row r="459" spans="1:5" ht="15" customHeight="1" x14ac:dyDescent="0.25">
      <c r="A459" t="s">
        <v>978</v>
      </c>
      <c r="B459" t="s">
        <v>431</v>
      </c>
      <c r="C459" t="s">
        <v>311</v>
      </c>
      <c r="D459" t="s">
        <v>755</v>
      </c>
      <c r="E459" t="s">
        <v>26</v>
      </c>
    </row>
    <row r="460" spans="1:5" ht="15" customHeight="1" x14ac:dyDescent="0.25">
      <c r="A460" t="s">
        <v>1051</v>
      </c>
      <c r="B460" t="s">
        <v>1052</v>
      </c>
      <c r="C460" t="s">
        <v>254</v>
      </c>
      <c r="D460" t="s">
        <v>311</v>
      </c>
    </row>
    <row r="461" spans="1:5" ht="15" customHeight="1" x14ac:dyDescent="0.25">
      <c r="A461" t="s">
        <v>27</v>
      </c>
      <c r="B461" t="s">
        <v>27</v>
      </c>
      <c r="D461" t="s">
        <v>755</v>
      </c>
      <c r="E461" t="s">
        <v>26</v>
      </c>
    </row>
    <row r="462" spans="1:5" ht="15" customHeight="1" x14ac:dyDescent="0.25">
      <c r="A462" t="s">
        <v>62</v>
      </c>
      <c r="B462" t="s">
        <v>62</v>
      </c>
      <c r="D462" t="s">
        <v>63</v>
      </c>
      <c r="E462" t="s">
        <v>26</v>
      </c>
    </row>
    <row r="463" spans="1:5" ht="15" customHeight="1" x14ac:dyDescent="0.25">
      <c r="A463" t="s">
        <v>252</v>
      </c>
      <c r="B463" t="s">
        <v>252</v>
      </c>
      <c r="D463" t="s">
        <v>63</v>
      </c>
      <c r="E463" t="s">
        <v>16</v>
      </c>
    </row>
    <row r="464" spans="1:5" ht="15" customHeight="1" x14ac:dyDescent="0.25">
      <c r="A464" t="s">
        <v>71</v>
      </c>
      <c r="B464" t="s">
        <v>71</v>
      </c>
      <c r="D464" t="s">
        <v>744</v>
      </c>
      <c r="E464" t="s">
        <v>26</v>
      </c>
    </row>
    <row r="465" spans="1:7" ht="15" customHeight="1" x14ac:dyDescent="0.25">
      <c r="A465" t="s">
        <v>286</v>
      </c>
      <c r="B465" t="s">
        <v>286</v>
      </c>
      <c r="D465" t="s">
        <v>744</v>
      </c>
      <c r="E465" t="s">
        <v>16</v>
      </c>
    </row>
    <row r="466" spans="1:7" ht="15" customHeight="1" x14ac:dyDescent="0.25">
      <c r="A466" t="s">
        <v>1295</v>
      </c>
      <c r="B466" t="s">
        <v>1295</v>
      </c>
      <c r="E466" t="s">
        <v>16</v>
      </c>
    </row>
    <row r="467" spans="1:7" ht="15" customHeight="1" x14ac:dyDescent="0.25">
      <c r="A467" t="s">
        <v>121</v>
      </c>
      <c r="B467" t="s">
        <v>121</v>
      </c>
      <c r="D467" t="s">
        <v>778</v>
      </c>
    </row>
    <row r="468" spans="1:7" ht="15" customHeight="1" x14ac:dyDescent="0.25">
      <c r="A468" s="67" t="s">
        <v>568</v>
      </c>
      <c r="B468" t="s">
        <v>568</v>
      </c>
      <c r="G468" s="31"/>
    </row>
    <row r="469" spans="1:7" ht="15" customHeight="1" x14ac:dyDescent="0.25">
      <c r="A469" s="64" t="s">
        <v>1298</v>
      </c>
      <c r="B469" t="s">
        <v>694</v>
      </c>
      <c r="C469" t="s">
        <v>254</v>
      </c>
      <c r="D469" t="s">
        <v>755</v>
      </c>
      <c r="G469" s="31"/>
    </row>
    <row r="470" spans="1:7" ht="15" customHeight="1" x14ac:dyDescent="0.25">
      <c r="A470" s="64" t="s">
        <v>1318</v>
      </c>
      <c r="B470" t="s">
        <v>636</v>
      </c>
      <c r="C470" t="s">
        <v>254</v>
      </c>
      <c r="D470" t="s">
        <v>755</v>
      </c>
      <c r="G470" s="31"/>
    </row>
    <row r="471" spans="1:7" ht="15" customHeight="1" x14ac:dyDescent="0.25">
      <c r="A471" s="64" t="s">
        <v>1186</v>
      </c>
      <c r="B471" t="s">
        <v>570</v>
      </c>
      <c r="C471" t="s">
        <v>782</v>
      </c>
      <c r="D471" t="s">
        <v>812</v>
      </c>
      <c r="G471" s="31"/>
    </row>
    <row r="472" spans="1:7" ht="15" customHeight="1" x14ac:dyDescent="0.25">
      <c r="A472" s="64" t="s">
        <v>963</v>
      </c>
      <c r="B472" t="s">
        <v>367</v>
      </c>
      <c r="C472" t="s">
        <v>734</v>
      </c>
      <c r="D472" t="s">
        <v>735</v>
      </c>
      <c r="G472" s="31"/>
    </row>
    <row r="473" spans="1:7" ht="15" customHeight="1" x14ac:dyDescent="0.25">
      <c r="A473" s="64" t="s">
        <v>1218</v>
      </c>
      <c r="B473" t="s">
        <v>661</v>
      </c>
      <c r="C473" t="s">
        <v>810</v>
      </c>
      <c r="D473" t="s">
        <v>755</v>
      </c>
      <c r="E473" t="s">
        <v>26</v>
      </c>
      <c r="G473" s="31"/>
    </row>
    <row r="474" spans="1:7" ht="15" customHeight="1" x14ac:dyDescent="0.25">
      <c r="A474" s="64" t="s">
        <v>1192</v>
      </c>
      <c r="B474" t="s">
        <v>574</v>
      </c>
      <c r="C474" t="s">
        <v>731</v>
      </c>
      <c r="D474" t="s">
        <v>732</v>
      </c>
      <c r="E474" t="s">
        <v>26</v>
      </c>
      <c r="G474" s="31"/>
    </row>
    <row r="475" spans="1:7" ht="15" customHeight="1" x14ac:dyDescent="0.25">
      <c r="A475" s="64" t="s">
        <v>896</v>
      </c>
      <c r="B475" t="s">
        <v>689</v>
      </c>
      <c r="C475" t="s">
        <v>731</v>
      </c>
      <c r="D475" t="s">
        <v>732</v>
      </c>
      <c r="E475" t="s">
        <v>26</v>
      </c>
      <c r="G475" s="31"/>
    </row>
    <row r="476" spans="1:7" ht="15" customHeight="1" x14ac:dyDescent="0.25">
      <c r="A476" s="65" t="s">
        <v>1056</v>
      </c>
      <c r="B476" t="s">
        <v>1057</v>
      </c>
      <c r="C476" t="s">
        <v>311</v>
      </c>
      <c r="D476" t="s">
        <v>755</v>
      </c>
      <c r="E476" t="s">
        <v>26</v>
      </c>
      <c r="G476" s="31"/>
    </row>
    <row r="477" spans="1:7" ht="15" customHeight="1" x14ac:dyDescent="0.25">
      <c r="A477" t="s">
        <v>882</v>
      </c>
      <c r="B477" t="s">
        <v>883</v>
      </c>
      <c r="C477" t="s">
        <v>731</v>
      </c>
      <c r="D477" t="s">
        <v>785</v>
      </c>
      <c r="E477" t="s">
        <v>26</v>
      </c>
    </row>
    <row r="478" spans="1:7" ht="15" customHeight="1" x14ac:dyDescent="0.25">
      <c r="A478" t="s">
        <v>993</v>
      </c>
      <c r="B478" t="s">
        <v>994</v>
      </c>
      <c r="C478" t="s">
        <v>765</v>
      </c>
      <c r="D478" t="s">
        <v>735</v>
      </c>
    </row>
    <row r="479" spans="1:7" ht="15" customHeight="1" x14ac:dyDescent="0.25">
      <c r="A479" t="s">
        <v>1184</v>
      </c>
      <c r="B479" t="s">
        <v>1185</v>
      </c>
      <c r="C479" t="s">
        <v>731</v>
      </c>
      <c r="D479" t="s">
        <v>732</v>
      </c>
      <c r="E479" t="s">
        <v>26</v>
      </c>
    </row>
    <row r="480" spans="1:7" ht="15" customHeight="1" x14ac:dyDescent="0.25">
      <c r="A480" s="13" t="s">
        <v>1224</v>
      </c>
      <c r="B480" t="s">
        <v>552</v>
      </c>
      <c r="C480" t="s">
        <v>906</v>
      </c>
      <c r="D480" t="s">
        <v>740</v>
      </c>
    </row>
  </sheetData>
  <mergeCells count="1">
    <mergeCell ref="A1:C1"/>
  </mergeCells>
  <phoneticPr fontId="11" type="noConversion"/>
  <conditionalFormatting sqref="A392:B392">
    <cfRule type="duplicateValues" dxfId="8" priority="3"/>
  </conditionalFormatting>
  <conditionalFormatting sqref="B3:B385">
    <cfRule type="duplicateValues" dxfId="7" priority="5"/>
  </conditionalFormatting>
  <conditionalFormatting sqref="K3:K116">
    <cfRule type="cellIs" dxfId="6" priority="1" operator="greaterThan">
      <formula>0</formula>
    </cfRule>
    <cfRule type="cellIs" dxfId="5" priority="2" operator="lessThan">
      <formula>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81809-2E11-47BB-883A-F3D81EC8F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8</vt:i4>
      </vt:variant>
    </vt:vector>
  </HeadingPairs>
  <TitlesOfParts>
    <vt:vector size="13" baseType="lpstr">
      <vt:lpstr>entree</vt:lpstr>
      <vt:lpstr>entree backup</vt:lpstr>
      <vt:lpstr>sortie</vt:lpstr>
      <vt:lpstr>Inventaire STOCK</vt:lpstr>
      <vt:lpstr>utilisateurs_articles</vt:lpstr>
      <vt:lpstr>date_max_entree</vt:lpstr>
      <vt:lpstr>date_max_sortie</vt:lpstr>
      <vt:lpstr>date_min_entree</vt:lpstr>
      <vt:lpstr>date_min_sortie</vt:lpstr>
      <vt:lpstr>entree!localiation</vt:lpstr>
      <vt:lpstr>localiation</vt:lpstr>
      <vt:lpstr>entree!utilisateurs</vt:lpstr>
      <vt:lpstr>utilisateurs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tefymahery</dc:creator>
  <cp:keywords/>
  <dc:description/>
  <cp:lastModifiedBy>Utilisateur Windows</cp:lastModifiedBy>
  <cp:revision/>
  <dcterms:created xsi:type="dcterms:W3CDTF">2015-06-05T18:17:20Z</dcterms:created>
  <dcterms:modified xsi:type="dcterms:W3CDTF">2025-11-18T23:14:59Z</dcterms:modified>
  <cp:category/>
  <cp:contentStatus/>
</cp:coreProperties>
</file>